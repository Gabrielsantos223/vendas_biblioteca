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ol\OneDrive\Desktop\"/>
    </mc:Choice>
  </mc:AlternateContent>
  <bookViews>
    <workbookView xWindow="0" yWindow="0" windowWidth="7630" windowHeight="3310" tabRatio="765"/>
  </bookViews>
  <sheets>
    <sheet name="Tabela de Vendas" sheetId="1" r:id="rId1"/>
    <sheet name="Total Gasto Clientes" sheetId="4" r:id="rId2"/>
    <sheet name="Livros Mais Vendido" sheetId="5" r:id="rId3"/>
    <sheet name="Gênero Total Vendido" sheetId="6" r:id="rId4"/>
  </sheets>
  <calcPr calcId="162913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</calcChain>
</file>

<file path=xl/sharedStrings.xml><?xml version="1.0" encoding="utf-8"?>
<sst xmlns="http://schemas.openxmlformats.org/spreadsheetml/2006/main" count="279" uniqueCount="150">
  <si>
    <t>pedido_id</t>
  </si>
  <si>
    <t>cliente</t>
  </si>
  <si>
    <t>preco</t>
  </si>
  <si>
    <t>quantidade</t>
  </si>
  <si>
    <t>data_pedido</t>
  </si>
  <si>
    <t>TABELA DE VENDAS LIVROS</t>
  </si>
  <si>
    <t>nome</t>
  </si>
  <si>
    <t>genero</t>
  </si>
  <si>
    <t>autor</t>
  </si>
  <si>
    <t xml:space="preserve"> Ana Silva </t>
  </si>
  <si>
    <t xml:space="preserve"> O Poder do Hábito </t>
  </si>
  <si>
    <t xml:space="preserve"> Charles Duhigg </t>
  </si>
  <si>
    <t xml:space="preserve"> Autoajuda </t>
  </si>
  <si>
    <t xml:space="preserve"> 05/01/2024</t>
  </si>
  <si>
    <t xml:space="preserve"> João Pereira </t>
  </si>
  <si>
    <t xml:space="preserve"> Clean Code </t>
  </si>
  <si>
    <t xml:space="preserve"> Robert C. Martin </t>
  </si>
  <si>
    <t xml:space="preserve"> Tecnologia </t>
  </si>
  <si>
    <t xml:space="preserve"> 06/01/2024</t>
  </si>
  <si>
    <t xml:space="preserve"> Maria Souza </t>
  </si>
  <si>
    <t xml:space="preserve"> George Orwell </t>
  </si>
  <si>
    <t xml:space="preserve"> Ficção </t>
  </si>
  <si>
    <t xml:space="preserve"> 07/01/2024</t>
  </si>
  <si>
    <t xml:space="preserve"> Carlos Lima </t>
  </si>
  <si>
    <t xml:space="preserve"> Dom Casmurro </t>
  </si>
  <si>
    <t xml:space="preserve"> Machado de Assis </t>
  </si>
  <si>
    <t xml:space="preserve"> Clássico </t>
  </si>
  <si>
    <t xml:space="preserve"> 08/01/2024</t>
  </si>
  <si>
    <t xml:space="preserve"> Mindset </t>
  </si>
  <si>
    <t xml:space="preserve"> Carol Dweck </t>
  </si>
  <si>
    <t xml:space="preserve"> 10/01/2024</t>
  </si>
  <si>
    <t xml:space="preserve"> Python para Dados </t>
  </si>
  <si>
    <t xml:space="preserve"> Wes McKinney </t>
  </si>
  <si>
    <t xml:space="preserve"> 12/01/2024</t>
  </si>
  <si>
    <t xml:space="preserve"> A Revolução dos Bichos </t>
  </si>
  <si>
    <t xml:space="preserve"> 15/01/2024</t>
  </si>
  <si>
    <t xml:space="preserve"> Lucas Rocha </t>
  </si>
  <si>
    <t xml:space="preserve"> Pai Rico Pai Pobre </t>
  </si>
  <si>
    <t xml:space="preserve"> Robert Kiyosaki </t>
  </si>
  <si>
    <t xml:space="preserve"> Finanças </t>
  </si>
  <si>
    <t xml:space="preserve"> 16/01/2024</t>
  </si>
  <si>
    <t xml:space="preserve"> Fernanda Alves </t>
  </si>
  <si>
    <t xml:space="preserve"> O Alquimista </t>
  </si>
  <si>
    <t xml:space="preserve"> Paulo Coelho </t>
  </si>
  <si>
    <t xml:space="preserve"> 18/01/2024</t>
  </si>
  <si>
    <t xml:space="preserve"> SQL para Iniciantes </t>
  </si>
  <si>
    <t xml:space="preserve"> John Smith </t>
  </si>
  <si>
    <t xml:space="preserve"> 20/01/2024</t>
  </si>
  <si>
    <t xml:space="preserve"> Essencialismo </t>
  </si>
  <si>
    <t xml:space="preserve"> Greg McKeown </t>
  </si>
  <si>
    <t xml:space="preserve"> 22/01/2024</t>
  </si>
  <si>
    <t xml:space="preserve"> Código Limpo </t>
  </si>
  <si>
    <t xml:space="preserve"> 25/01/2024</t>
  </si>
  <si>
    <t xml:space="preserve"> O Hobbit </t>
  </si>
  <si>
    <t xml:space="preserve"> J.R.R. Tolkien </t>
  </si>
  <si>
    <t xml:space="preserve"> Fantasia </t>
  </si>
  <si>
    <t xml:space="preserve"> 26/01/2024</t>
  </si>
  <si>
    <t xml:space="preserve"> Trabalhe 4 Horas </t>
  </si>
  <si>
    <t xml:space="preserve"> Tim Ferriss </t>
  </si>
  <si>
    <t xml:space="preserve"> Negócios </t>
  </si>
  <si>
    <t xml:space="preserve"> 28/01/2024</t>
  </si>
  <si>
    <t xml:space="preserve"> Harry Potter </t>
  </si>
  <si>
    <t xml:space="preserve"> J.K. Rowling </t>
  </si>
  <si>
    <t xml:space="preserve"> 30/01/2024</t>
  </si>
  <si>
    <t xml:space="preserve"> Aprendendo MySQL </t>
  </si>
  <si>
    <t xml:space="preserve"> Alan Beaulieu </t>
  </si>
  <si>
    <t xml:space="preserve"> 02/02/2024</t>
  </si>
  <si>
    <t xml:space="preserve"> Hábitos Atômicos </t>
  </si>
  <si>
    <t xml:space="preserve"> James Clear </t>
  </si>
  <si>
    <t xml:space="preserve"> 03/02/2024</t>
  </si>
  <si>
    <t xml:space="preserve"> Engenharia de Dados </t>
  </si>
  <si>
    <t xml:space="preserve"> Joe Reis </t>
  </si>
  <si>
    <t xml:space="preserve"> 05/02/2024</t>
  </si>
  <si>
    <t xml:space="preserve"> Orgulho e Preconceito </t>
  </si>
  <si>
    <t xml:space="preserve"> Jane Austen </t>
  </si>
  <si>
    <t xml:space="preserve"> Romance </t>
  </si>
  <si>
    <t xml:space="preserve"> 06/02/2024</t>
  </si>
  <si>
    <t xml:space="preserve"> Startup Enxuta </t>
  </si>
  <si>
    <t xml:space="preserve"> Eric Ries </t>
  </si>
  <si>
    <t xml:space="preserve"> 08/02/2024</t>
  </si>
  <si>
    <t xml:space="preserve"> O Pequeno Príncipe </t>
  </si>
  <si>
    <t xml:space="preserve"> Antoine Saint-Exupéry </t>
  </si>
  <si>
    <t xml:space="preserve"> 10/02/2024</t>
  </si>
  <si>
    <t xml:space="preserve"> Power BI na Prática </t>
  </si>
  <si>
    <t xml:space="preserve"> Marco Russo </t>
  </si>
  <si>
    <t xml:space="preserve"> 12/02/2024</t>
  </si>
  <si>
    <t xml:space="preserve"> Como Fazer Amigos </t>
  </si>
  <si>
    <t xml:space="preserve"> Dale Carnegie </t>
  </si>
  <si>
    <t xml:space="preserve"> 14/02/2024</t>
  </si>
  <si>
    <t xml:space="preserve"> Java Efetivo </t>
  </si>
  <si>
    <t xml:space="preserve"> Joshua Bloch </t>
  </si>
  <si>
    <t xml:space="preserve"> 15/02/2024</t>
  </si>
  <si>
    <t xml:space="preserve"> Anne de Green Gables </t>
  </si>
  <si>
    <t xml:space="preserve"> L.M. Montgomery </t>
  </si>
  <si>
    <t xml:space="preserve"> 17/02/2024</t>
  </si>
  <si>
    <t xml:space="preserve"> Design de APIs </t>
  </si>
  <si>
    <t xml:space="preserve"> Martin Fowler </t>
  </si>
  <si>
    <t xml:space="preserve"> 18/02/2024</t>
  </si>
  <si>
    <t xml:space="preserve"> Mulheres que Correm </t>
  </si>
  <si>
    <t xml:space="preserve"> Clarissa Pinkola </t>
  </si>
  <si>
    <t xml:space="preserve"> 20/02/2024</t>
  </si>
  <si>
    <t xml:space="preserve"> Excel Avançado </t>
  </si>
  <si>
    <t xml:space="preserve"> Leandro Vieira </t>
  </si>
  <si>
    <t xml:space="preserve"> 22/02/2024</t>
  </si>
  <si>
    <t xml:space="preserve"> A Coragem de Ser Imperfeito </t>
  </si>
  <si>
    <t xml:space="preserve"> Brené Brown </t>
  </si>
  <si>
    <t xml:space="preserve"> 23/02/2024</t>
  </si>
  <si>
    <t xml:space="preserve"> Docker Deep Dive </t>
  </si>
  <si>
    <t xml:space="preserve"> Nigel Poulton </t>
  </si>
  <si>
    <t xml:space="preserve"> 25/02/2024</t>
  </si>
  <si>
    <t xml:space="preserve"> O Nome do Vento </t>
  </si>
  <si>
    <t xml:space="preserve"> Patrick Rothfuss </t>
  </si>
  <si>
    <t xml:space="preserve"> 26/02/2024</t>
  </si>
  <si>
    <t xml:space="preserve"> Gestão do Tempo </t>
  </si>
  <si>
    <t xml:space="preserve"> Brian Tracy </t>
  </si>
  <si>
    <t xml:space="preserve"> 28/02/2024</t>
  </si>
  <si>
    <t xml:space="preserve"> A Arte da Guerra </t>
  </si>
  <si>
    <t xml:space="preserve"> Sun Tzu </t>
  </si>
  <si>
    <t xml:space="preserve"> Estratégia </t>
  </si>
  <si>
    <t xml:space="preserve"> 01/03/2024</t>
  </si>
  <si>
    <t xml:space="preserve"> Big Data </t>
  </si>
  <si>
    <t xml:space="preserve"> Viktor Mayer </t>
  </si>
  <si>
    <t xml:space="preserve"> 03/03/2024</t>
  </si>
  <si>
    <t xml:space="preserve"> Inteligência Emocional </t>
  </si>
  <si>
    <t xml:space="preserve"> Daniel Goleman </t>
  </si>
  <si>
    <t xml:space="preserve"> 05/03/2024</t>
  </si>
  <si>
    <t xml:space="preserve"> Linux Essencial </t>
  </si>
  <si>
    <t xml:space="preserve"> Christopher Negus </t>
  </si>
  <si>
    <t xml:space="preserve"> 06/03/2024</t>
  </si>
  <si>
    <t xml:space="preserve"> A Menina que Roubava Livros </t>
  </si>
  <si>
    <t xml:space="preserve"> Markus Zusak </t>
  </si>
  <si>
    <t xml:space="preserve"> 08/03/2024</t>
  </si>
  <si>
    <t xml:space="preserve"> Scrum </t>
  </si>
  <si>
    <t xml:space="preserve"> Jeff Sutherland </t>
  </si>
  <si>
    <t xml:space="preserve"> 09/03/2024</t>
  </si>
  <si>
    <t xml:space="preserve"> Comer Rezar Amar </t>
  </si>
  <si>
    <t xml:space="preserve"> Elizabeth Gilbert </t>
  </si>
  <si>
    <t xml:space="preserve"> 10/03/2024</t>
  </si>
  <si>
    <t xml:space="preserve"> Estatística Básica </t>
  </si>
  <si>
    <t xml:space="preserve"> Mario Triola </t>
  </si>
  <si>
    <t xml:space="preserve"> Educação </t>
  </si>
  <si>
    <t xml:space="preserve"> 12/03/2024</t>
  </si>
  <si>
    <t>valor_total</t>
  </si>
  <si>
    <t>Total Geral</t>
  </si>
  <si>
    <t>valor_gasto_cliente</t>
  </si>
  <si>
    <t>clientes</t>
  </si>
  <si>
    <t>Gênero</t>
  </si>
  <si>
    <t>Total Vedido</t>
  </si>
  <si>
    <t>Nome_Livros</t>
  </si>
  <si>
    <t>quantidade_Livro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</si>
</sst>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R$&quot;\ * #,##0.00_-;\-&quot;R$&quot;\ * #,##0.00_-;_-&quot;R$&quot;\ * &quot;-&quot;??_-;_-@_-"/>
    <numFmt numFmtId="165" formatCode="dd/mm/yy;@"/>
    <numFmt numFmtId="166" formatCode="_-[$R$-416]\ * #,##0.00_-;\-[$R$-416]\ * #,##0.00_-;_-[$R$-416]\ * &quot;-&quot;??_-;_-@_-"/>
    <numFmt numFmtId="167" formatCode="&quot;R$&quot;\ #,##0.00"/>
  </numFmts>
  <fonts count="6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/>
    <xf numFmtId="165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165" fontId="0" fillId="2" borderId="3" xfId="0" applyNumberFormat="1" applyFill="1" applyBorder="1" applyAlignment="1">
      <alignment horizontal="center"/>
    </xf>
    <xf numFmtId="165" fontId="3" fillId="5" borderId="6" xfId="0" applyNumberFormat="1" applyFont="1" applyFill="1" applyBorder="1" applyAlignment="1">
      <alignment horizontal="center" vertical="center"/>
    </xf>
    <xf numFmtId="165" fontId="0" fillId="2" borderId="9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3" fillId="5" borderId="4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/>
    </xf>
    <xf numFmtId="1" fontId="1" fillId="2" borderId="7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3" fillId="5" borderId="5" xfId="0" applyNumberFormat="1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/>
    </xf>
    <xf numFmtId="49" fontId="0" fillId="2" borderId="8" xfId="0" applyNumberFormat="1" applyFill="1" applyBorder="1" applyAlignment="1">
      <alignment horizontal="center"/>
    </xf>
    <xf numFmtId="167" fontId="0" fillId="0" borderId="0" xfId="0" applyNumberFormat="1" applyAlignment="1">
      <alignment horizontal="center"/>
    </xf>
    <xf numFmtId="167" fontId="3" fillId="5" borderId="5" xfId="0" applyNumberFormat="1" applyFont="1" applyFill="1" applyBorder="1" applyAlignment="1">
      <alignment horizontal="center" vertical="center"/>
    </xf>
    <xf numFmtId="1" fontId="0" fillId="0" borderId="0" xfId="1" applyNumberFormat="1" applyFont="1" applyAlignment="1">
      <alignment horizontal="center"/>
    </xf>
    <xf numFmtId="1" fontId="3" fillId="5" borderId="5" xfId="1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1" fontId="0" fillId="2" borderId="8" xfId="1" applyNumberFormat="1" applyFont="1" applyFill="1" applyBorder="1" applyAlignment="1">
      <alignment horizontal="center"/>
    </xf>
    <xf numFmtId="167" fontId="5" fillId="2" borderId="1" xfId="0" applyNumberFormat="1" applyFont="1" applyFill="1" applyBorder="1" applyAlignment="1">
      <alignment horizontal="center"/>
    </xf>
    <xf numFmtId="167" fontId="5" fillId="2" borderId="8" xfId="0" applyNumberFormat="1" applyFont="1" applyFill="1" applyBorder="1" applyAlignment="1">
      <alignment horizontal="center"/>
    </xf>
    <xf numFmtId="1" fontId="3" fillId="5" borderId="6" xfId="1" applyNumberFormat="1" applyFont="1" applyFill="1" applyBorder="1" applyAlignment="1">
      <alignment horizontal="center" vertical="center"/>
    </xf>
    <xf numFmtId="0" fontId="3" fillId="6" borderId="11" xfId="0" applyFont="1" applyFill="1" applyBorder="1" applyAlignment="1"/>
    <xf numFmtId="166" fontId="0" fillId="6" borderId="11" xfId="0" applyNumberFormat="1" applyFont="1" applyFill="1" applyBorder="1" applyAlignment="1">
      <alignment vertical="center"/>
    </xf>
    <xf numFmtId="0" fontId="0" fillId="0" borderId="10" xfId="0" applyBorder="1" applyAlignment="1">
      <alignment horizontal="left"/>
    </xf>
    <xf numFmtId="0" fontId="0" fillId="0" borderId="10" xfId="0" applyNumberFormat="1" applyBorder="1"/>
    <xf numFmtId="0" fontId="4" fillId="7" borderId="10" xfId="0" applyFont="1" applyFill="1" applyBorder="1"/>
    <xf numFmtId="44" fontId="5" fillId="2" borderId="3" xfId="1" applyFont="1" applyFill="1" applyBorder="1" applyAlignment="1">
      <alignment horizontal="center"/>
    </xf>
    <xf numFmtId="44" fontId="5" fillId="2" borderId="9" xfId="1" applyFont="1" applyFill="1" applyBorder="1" applyAlignment="1">
      <alignment horizontal="center"/>
    </xf>
    <xf numFmtId="0" fontId="0" fillId="0" borderId="0" xfId="0" applyFont="1"/>
    <xf numFmtId="0" fontId="0" fillId="0" borderId="1" xfId="0" applyBorder="1" applyAlignment="1">
      <alignment horizontal="left"/>
    </xf>
    <xf numFmtId="44" fontId="1" fillId="0" borderId="1" xfId="0" applyNumberFormat="1" applyFont="1" applyBorder="1"/>
    <xf numFmtId="44" fontId="0" fillId="0" borderId="1" xfId="0" applyNumberFormat="1" applyBorder="1"/>
    <xf numFmtId="0" fontId="0" fillId="9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4" fontId="0" fillId="9" borderId="11" xfId="0" applyNumberFormat="1" applyFill="1" applyBorder="1" applyAlignment="1">
      <alignment horizontal="center" vertical="center"/>
    </xf>
    <xf numFmtId="44" fontId="0" fillId="0" borderId="11" xfId="0" applyNumberForma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8" borderId="10" xfId="0" applyFill="1" applyBorder="1"/>
    <xf numFmtId="0" fontId="0" fillId="8" borderId="10" xfId="0" applyFont="1" applyFill="1" applyBorder="1"/>
    <xf numFmtId="0" fontId="0" fillId="8" borderId="10" xfId="0" applyFill="1" applyBorder="1" applyAlignment="1">
      <alignment horizontal="left"/>
    </xf>
    <xf numFmtId="0" fontId="0" fillId="8" borderId="10" xfId="0" applyNumberFormat="1" applyFill="1" applyBorder="1"/>
    <xf numFmtId="0" fontId="0" fillId="3" borderId="1" xfId="0" applyFill="1" applyBorder="1"/>
    <xf numFmtId="44" fontId="0" fillId="3" borderId="1" xfId="0" applyNumberFormat="1" applyFill="1" applyBorder="1"/>
    <xf numFmtId="0" fontId="0" fillId="3" borderId="1" xfId="0" applyFill="1" applyBorder="1" applyAlignment="1">
      <alignment horizontal="left"/>
    </xf>
  </cellXfs>
  <cellStyles count="2">
    <cellStyle name="Moeda" xfId="1" builtinId="4"/>
    <cellStyle name="Normal" xfId="0" builtinId="0"/>
  </cellStyles>
  <dxfs count="90"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u/>
      </font>
    </dxf>
    <dxf>
      <font>
        <u/>
      </font>
    </dxf>
    <dxf>
      <font>
        <u val="none"/>
      </font>
    </dxf>
    <dxf>
      <font>
        <u val="none"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  <dxf>
      <font>
        <u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 style="thick">
          <color indexed="64"/>
        </bottom>
      </border>
    </dxf>
    <dxf>
      <numFmt numFmtId="165" formatCode="dd/mm/yy;@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ck">
          <color indexed="64"/>
        </top>
        <bottom style="thick">
          <color indexed="64"/>
        </bottom>
      </border>
    </dxf>
    <dxf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ck">
          <color indexed="64"/>
        </top>
        <bottom style="thick">
          <color indexed="64"/>
        </bottom>
      </border>
    </dxf>
    <dxf>
      <font>
        <i/>
      </font>
      <numFmt numFmtId="167" formatCode="&quot;R$&quot;\ #,##0.0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numFmt numFmtId="30" formatCode="@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 style="thick">
          <color indexed="64"/>
        </bottom>
      </border>
    </dxf>
    <dxf>
      <numFmt numFmtId="30" formatCode="@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numFmt numFmtId="30" formatCode="@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numFmt numFmtId="30" formatCode="@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border outline="0">
        <top style="thick">
          <color indexed="64"/>
        </top>
      </border>
    </dxf>
    <dxf>
      <border outline="0">
        <bottom style="thick">
          <color indexed="64"/>
        </bottom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</dxfs>
  <tableStyles count="0" defaultTableStyle="TableStyleMedium2" defaultPivotStyle="PivotStyleLight16"/>
  <colors>
    <mruColors>
      <color rgb="FF90D5F4"/>
      <color rgb="FF3333FF"/>
      <color rgb="FF0005E4"/>
      <color rgb="FF0000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[vendas_livros.xlsx]Total Gasto Clientes!Tabela dinâmica1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</a:t>
            </a:r>
            <a:r>
              <a:rPr lang="en-US" b="1" baseline="0">
                <a:solidFill>
                  <a:schemeClr val="tx1"/>
                </a:solidFill>
              </a:rPr>
              <a:t> Gasto Por Clientes</a:t>
            </a:r>
            <a:endParaRPr lang="en-US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rgbClr val="FF0000"/>
          </a:solidFill>
          <a:ln>
            <a:solidFill>
              <a:sysClr val="windowText" lastClr="000000"/>
            </a:solidFill>
          </a:ln>
          <a:effectLst/>
          <a:sp3d>
            <a:contourClr>
              <a:sysClr val="windowText" lastClr="000000"/>
            </a:contourClr>
          </a:sp3d>
        </c:spPr>
      </c:pivotFmt>
      <c:pivotFmt>
        <c:idx val="2"/>
        <c:spPr>
          <a:solidFill>
            <a:srgbClr val="FFC000"/>
          </a:solidFill>
          <a:ln>
            <a:solidFill>
              <a:schemeClr val="tx1"/>
            </a:solidFill>
          </a:ln>
          <a:effectLst/>
          <a:sp3d>
            <a:contourClr>
              <a:schemeClr val="tx1"/>
            </a:contourClr>
          </a:sp3d>
        </c:spPr>
      </c:pivotFmt>
      <c:pivotFmt>
        <c:idx val="3"/>
        <c:spPr>
          <a:solidFill>
            <a:srgbClr val="FFFF00"/>
          </a:solidFill>
          <a:ln>
            <a:solidFill>
              <a:schemeClr val="tx1"/>
            </a:solidFill>
          </a:ln>
          <a:effectLst/>
          <a:sp3d>
            <a:contourClr>
              <a:schemeClr val="tx1"/>
            </a:contourClr>
          </a:sp3d>
        </c:spPr>
      </c:pivotFmt>
      <c:pivotFmt>
        <c:idx val="4"/>
        <c:spPr>
          <a:solidFill>
            <a:srgbClr val="92D050"/>
          </a:solidFill>
          <a:ln>
            <a:solidFill>
              <a:schemeClr val="tx1"/>
            </a:solidFill>
          </a:ln>
          <a:effectLst/>
          <a:sp3d>
            <a:contourClr>
              <a:schemeClr val="tx1"/>
            </a:contourClr>
          </a:sp3d>
        </c:spPr>
      </c:pivotFmt>
      <c:pivotFmt>
        <c:idx val="5"/>
        <c:spPr>
          <a:solidFill>
            <a:srgbClr val="00B050"/>
          </a:solidFill>
          <a:ln>
            <a:solidFill>
              <a:schemeClr val="tx1"/>
            </a:solidFill>
          </a:ln>
          <a:effectLst/>
          <a:sp3d>
            <a:contourClr>
              <a:schemeClr val="tx1"/>
            </a:contourClr>
          </a:sp3d>
        </c:spPr>
      </c:pivotFmt>
      <c:pivotFmt>
        <c:idx val="6"/>
        <c:spPr>
          <a:solidFill>
            <a:srgbClr val="7030A0"/>
          </a:solidFill>
          <a:ln>
            <a:solidFill>
              <a:schemeClr val="tx1"/>
            </a:solidFill>
          </a:ln>
          <a:effectLst/>
          <a:sp3d>
            <a:contourClr>
              <a:schemeClr val="tx1"/>
            </a:contourClr>
          </a:sp3d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'Total Gasto Clientes'!$B$3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  <a:effectLst/>
              <a:sp3d>
                <a:contourClr>
                  <a:sysClr val="windowText" lastClr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CF5A-4FA6-A000-392C575BFC52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  <a:effectLst/>
              <a:sp3d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CF5A-4FA6-A000-392C575BFC52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  <a:sp3d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F5A-4FA6-A000-392C575BFC52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  <a:effectLst/>
              <a:sp3d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CF5A-4FA6-A000-392C575BFC52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  <a:effectLst/>
              <a:sp3d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F5A-4FA6-A000-392C575BFC52}"/>
              </c:ext>
            </c:extLst>
          </c:dPt>
          <c:dPt>
            <c:idx val="5"/>
            <c:invertIfNegative val="0"/>
            <c:bubble3D val="0"/>
            <c:spPr>
              <a:solidFill>
                <a:srgbClr val="7030A0"/>
              </a:solidFill>
              <a:ln>
                <a:solidFill>
                  <a:schemeClr val="tx1"/>
                </a:solidFill>
              </a:ln>
              <a:effectLst/>
              <a:sp3d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F5A-4FA6-A000-392C575BFC52}"/>
              </c:ext>
            </c:extLst>
          </c:dPt>
          <c:cat>
            <c:strRef>
              <c:f>'Total Gasto Clientes'!$A$4:$A$10</c:f>
              <c:strCache>
                <c:ptCount val="6"/>
                <c:pt idx="0">
                  <c:v> João Pereira </c:v>
                </c:pt>
                <c:pt idx="1">
                  <c:v> Carlos Lima </c:v>
                </c:pt>
                <c:pt idx="2">
                  <c:v> Ana Silva </c:v>
                </c:pt>
                <c:pt idx="3">
                  <c:v> Maria Souza </c:v>
                </c:pt>
                <c:pt idx="4">
                  <c:v> Fernanda Alves </c:v>
                </c:pt>
                <c:pt idx="5">
                  <c:v> Lucas Rocha </c:v>
                </c:pt>
              </c:strCache>
            </c:strRef>
          </c:cat>
          <c:val>
            <c:numRef>
              <c:f>'Total Gasto Clientes'!$B$4:$B$10</c:f>
              <c:numCache>
                <c:formatCode>_("R$"* #,##0.00_);_("R$"* \(#,##0.00\);_("R$"* "-"??_);_(@_)</c:formatCode>
                <c:ptCount val="6"/>
                <c:pt idx="0">
                  <c:v>908.8</c:v>
                </c:pt>
                <c:pt idx="1">
                  <c:v>644.5</c:v>
                </c:pt>
                <c:pt idx="2">
                  <c:v>610</c:v>
                </c:pt>
                <c:pt idx="3">
                  <c:v>516.9</c:v>
                </c:pt>
                <c:pt idx="4">
                  <c:v>457</c:v>
                </c:pt>
                <c:pt idx="5">
                  <c:v>443.49999999999994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A-4FA6-A000-392C575BF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88904159"/>
        <c:axId val="1688908735"/>
        <c:axId val="0"/>
      </c:bar3DChart>
      <c:catAx>
        <c:axId val="168890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8908735"/>
        <c:crosses val="autoZero"/>
        <c:auto val="1"/>
        <c:lblAlgn val="ctr"/>
        <c:lblOffset val="100"/>
        <c:noMultiLvlLbl val="0"/>
      </c:catAx>
      <c:valAx>
        <c:axId val="168890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890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chemeClr val="tx1"/>
                </a:solidFill>
              </a:rPr>
              <a:t>TOP</a:t>
            </a:r>
            <a:r>
              <a:rPr lang="pt-BR" b="1" baseline="0">
                <a:solidFill>
                  <a:schemeClr val="tx1"/>
                </a:solidFill>
              </a:rPr>
              <a:t> 5 LIVROS MAIS VENDIDOS</a:t>
            </a:r>
            <a:endParaRPr lang="pt-BR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'Livros Mais Vendido'!$E$3</c:f>
              <c:strCache>
                <c:ptCount val="1"/>
                <c:pt idx="0">
                  <c:v>quantidade_Livro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  <a:sp3d>
              <a:contourClr>
                <a:schemeClr val="tx1"/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0098"/>
              </a:solidFill>
              <a:ln>
                <a:solidFill>
                  <a:schemeClr val="tx1"/>
                </a:solidFill>
              </a:ln>
              <a:effectLst/>
              <a:sp3d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6-B149-424B-BEA6-D3E5F0EDE11B}"/>
              </c:ext>
            </c:extLst>
          </c:dPt>
          <c:dPt>
            <c:idx val="1"/>
            <c:invertIfNegative val="0"/>
            <c:bubble3D val="0"/>
            <c:spPr>
              <a:solidFill>
                <a:srgbClr val="0005E4"/>
              </a:solidFill>
              <a:ln>
                <a:solidFill>
                  <a:schemeClr val="tx1"/>
                </a:solidFill>
              </a:ln>
              <a:effectLst/>
              <a:sp3d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B149-424B-BEA6-D3E5F0EDE11B}"/>
              </c:ext>
            </c:extLst>
          </c:dPt>
          <c:dPt>
            <c:idx val="2"/>
            <c:invertIfNegative val="0"/>
            <c:bubble3D val="0"/>
            <c:spPr>
              <a:solidFill>
                <a:srgbClr val="3333FF"/>
              </a:solidFill>
              <a:ln>
                <a:solidFill>
                  <a:schemeClr val="tx1"/>
                </a:solidFill>
              </a:ln>
              <a:effectLst/>
              <a:sp3d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B149-424B-BEA6-D3E5F0EDE11B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  <a:sp3d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A-B149-424B-BEA6-D3E5F0EDE11B}"/>
              </c:ext>
            </c:extLst>
          </c:dPt>
          <c:dPt>
            <c:idx val="4"/>
            <c:invertIfNegative val="0"/>
            <c:bubble3D val="0"/>
            <c:spPr>
              <a:solidFill>
                <a:srgbClr val="90D5F4"/>
              </a:solidFill>
              <a:ln>
                <a:solidFill>
                  <a:schemeClr val="tx1"/>
                </a:solidFill>
              </a:ln>
              <a:effectLst/>
              <a:sp3d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0-B149-424B-BEA6-D3E5F0EDE11B}"/>
              </c:ext>
            </c:extLst>
          </c:dPt>
          <c:cat>
            <c:strRef>
              <c:f>'Livros Mais Vendido'!$D$4:$D$8</c:f>
              <c:strCache>
                <c:ptCount val="5"/>
                <c:pt idx="0">
                  <c:v> Hábitos Atômicos </c:v>
                </c:pt>
                <c:pt idx="1">
                  <c:v>1984</c:v>
                </c:pt>
                <c:pt idx="2">
                  <c:v> Mindset </c:v>
                </c:pt>
                <c:pt idx="3">
                  <c:v> O Poder do Hábito </c:v>
                </c:pt>
                <c:pt idx="4">
                  <c:v> O Alquimista </c:v>
                </c:pt>
              </c:strCache>
            </c:strRef>
          </c:cat>
          <c:val>
            <c:numRef>
              <c:f>'Livros Mais Vendido'!$E$4:$E$8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49-424B-BEA6-D3E5F0EDE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81788575"/>
        <c:axId val="1781781087"/>
        <c:axId val="0"/>
      </c:bar3DChart>
      <c:catAx>
        <c:axId val="178178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1781087"/>
        <c:crosses val="autoZero"/>
        <c:auto val="1"/>
        <c:lblAlgn val="ctr"/>
        <c:lblOffset val="100"/>
        <c:noMultiLvlLbl val="0"/>
      </c:catAx>
      <c:valAx>
        <c:axId val="178178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178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[vendas_livros.xlsx]Gênero Total Vendido!Tabela dinâmica3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Vendas Por Gêneros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'Gênero Total Vendido'!$B$3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/>
              </a:solidFill>
            </a:ln>
            <a:effectLst/>
            <a:sp3d>
              <a:contourClr>
                <a:schemeClr val="tx1"/>
              </a:contourClr>
            </a:sp3d>
          </c:spPr>
          <c:invertIfNegative val="0"/>
          <c:cat>
            <c:strRef>
              <c:f>'Gênero Total Vendido'!$A$4:$A$14</c:f>
              <c:strCache>
                <c:ptCount val="10"/>
                <c:pt idx="0">
                  <c:v> Tecnologia </c:v>
                </c:pt>
                <c:pt idx="1">
                  <c:v> Autoajuda </c:v>
                </c:pt>
                <c:pt idx="2">
                  <c:v> Ficção </c:v>
                </c:pt>
                <c:pt idx="3">
                  <c:v> Fantasia </c:v>
                </c:pt>
                <c:pt idx="4">
                  <c:v> Negócios </c:v>
                </c:pt>
                <c:pt idx="5">
                  <c:v> Romance </c:v>
                </c:pt>
                <c:pt idx="6">
                  <c:v> Educação </c:v>
                </c:pt>
                <c:pt idx="7">
                  <c:v> Finanças </c:v>
                </c:pt>
                <c:pt idx="8">
                  <c:v> Estratégia </c:v>
                </c:pt>
                <c:pt idx="9">
                  <c:v> Clássico </c:v>
                </c:pt>
              </c:strCache>
            </c:strRef>
          </c:cat>
          <c:val>
            <c:numRef>
              <c:f>'Gênero Total Vendido'!$B$4:$B$14</c:f>
              <c:numCache>
                <c:formatCode>_("R$"* #,##0.00_);_("R$"* \(#,##0.00\);_("R$"* "-"??_);_(@_)</c:formatCode>
                <c:ptCount val="10"/>
                <c:pt idx="0">
                  <c:v>1568.5</c:v>
                </c:pt>
                <c:pt idx="1">
                  <c:v>707.8</c:v>
                </c:pt>
                <c:pt idx="2">
                  <c:v>349.09999999999997</c:v>
                </c:pt>
                <c:pt idx="3">
                  <c:v>329.5</c:v>
                </c:pt>
                <c:pt idx="4">
                  <c:v>256.5</c:v>
                </c:pt>
                <c:pt idx="5">
                  <c:v>167.6</c:v>
                </c:pt>
                <c:pt idx="6">
                  <c:v>89.9</c:v>
                </c:pt>
                <c:pt idx="7">
                  <c:v>52</c:v>
                </c:pt>
                <c:pt idx="8">
                  <c:v>29.9</c:v>
                </c:pt>
                <c:pt idx="9">
                  <c:v>29.9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9-4D61-986D-EB3A41C3C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34103039"/>
        <c:axId val="1541654271"/>
        <c:axId val="0"/>
      </c:bar3DChart>
      <c:catAx>
        <c:axId val="153410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1654271"/>
        <c:crosses val="autoZero"/>
        <c:auto val="1"/>
        <c:lblAlgn val="ctr"/>
        <c:lblOffset val="100"/>
        <c:noMultiLvlLbl val="0"/>
      </c:catAx>
      <c:valAx>
        <c:axId val="154165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4103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85724</xdr:colOff>
      <xdr:row>2</xdr:row>
      <xdr:rowOff>3175</xdr:rowOff>
    </xdr:from>
    <xdr:to>
      <xdr:col>7</xdr:col>
      <xdr:colOff>590550</xdr:colOff>
      <xdr:row>15</xdr:row>
      <xdr:rowOff>44450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92075</xdr:colOff>
      <xdr:row>1</xdr:row>
      <xdr:rowOff>180975</xdr:rowOff>
    </xdr:from>
    <xdr:to>
      <xdr:col>7</xdr:col>
      <xdr:colOff>542925</xdr:colOff>
      <xdr:row>16</xdr:row>
      <xdr:rowOff>66675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69850</xdr:colOff>
      <xdr:row>2</xdr:row>
      <xdr:rowOff>6350</xdr:rowOff>
    </xdr:from>
    <xdr:to>
      <xdr:col>9</xdr:col>
      <xdr:colOff>38100</xdr:colOff>
      <xdr:row>14</xdr:row>
      <xdr:rowOff>12700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arol Santos" refreshedDate="46060.575501504631" createdVersion="6" refreshedVersion="6" minRefreshableVersion="3" recordCount="40">
  <cacheSource type="worksheet">
    <worksheetSource name="Tabela1"/>
  </cacheSource>
  <cacheFields count="9">
    <cacheField name="pedido_id" numFmtId="1">
      <sharedItems containsSemiMixedTypes="0" containsString="0" containsNumber="1" containsInteger="1" minValue="1001" maxValue="1040"/>
    </cacheField>
    <cacheField name="cliente" numFmtId="49">
      <sharedItems count="6">
        <s v=" Ana Silva "/>
        <s v=" João Pereira "/>
        <s v=" Maria Souza "/>
        <s v=" Carlos Lima "/>
        <s v=" Lucas Rocha "/>
        <s v=" Fernanda Alves "/>
      </sharedItems>
    </cacheField>
    <cacheField name="nome" numFmtId="49">
      <sharedItems containsMixedTypes="1" containsNumber="1" containsInteger="1" minValue="1984" maxValue="1984" count="40">
        <s v=" O Poder do Hábito "/>
        <s v=" Clean Code "/>
        <n v="1984"/>
        <s v=" Dom Casmurro "/>
        <s v=" Mindset "/>
        <s v=" Python para Dados "/>
        <s v=" A Revolução dos Bichos "/>
        <s v=" Pai Rico Pai Pobre "/>
        <s v=" O Alquimista "/>
        <s v=" SQL para Iniciantes "/>
        <s v=" Essencialismo "/>
        <s v=" Código Limpo "/>
        <s v=" O Hobbit "/>
        <s v=" Trabalhe 4 Horas "/>
        <s v=" Harry Potter "/>
        <s v=" Aprendendo MySQL "/>
        <s v=" Hábitos Atômicos "/>
        <s v=" Engenharia de Dados "/>
        <s v=" Orgulho e Preconceito "/>
        <s v=" Startup Enxuta "/>
        <s v=" O Pequeno Príncipe "/>
        <s v=" Power BI na Prática "/>
        <s v=" Como Fazer Amigos "/>
        <s v=" Java Efetivo "/>
        <s v=" Anne de Green Gables "/>
        <s v=" Design de APIs "/>
        <s v=" Mulheres que Correm "/>
        <s v=" Excel Avançado "/>
        <s v=" A Coragem de Ser Imperfeito "/>
        <s v=" Docker Deep Dive "/>
        <s v=" O Nome do Vento "/>
        <s v=" Gestão do Tempo "/>
        <s v=" A Arte da Guerra "/>
        <s v=" Big Data "/>
        <s v=" Inteligência Emocional "/>
        <s v=" Linux Essencial "/>
        <s v=" A Menina que Roubava Livros "/>
        <s v=" Scrum "/>
        <s v=" Comer Rezar Amar "/>
        <s v=" Estatística Básica "/>
      </sharedItems>
    </cacheField>
    <cacheField name="autor" numFmtId="49">
      <sharedItems/>
    </cacheField>
    <cacheField name="genero" numFmtId="49">
      <sharedItems count="10">
        <s v=" Autoajuda "/>
        <s v=" Tecnologia "/>
        <s v=" Ficção "/>
        <s v=" Clássico "/>
        <s v=" Finanças "/>
        <s v=" Fantasia "/>
        <s v=" Negócios "/>
        <s v=" Romance "/>
        <s v=" Estratégia "/>
        <s v=" Educação "/>
      </sharedItems>
    </cacheField>
    <cacheField name="preco" numFmtId="167">
      <sharedItems containsSemiMixedTypes="0" containsString="0" containsNumber="1" minValue="29.9" maxValue="140"/>
    </cacheField>
    <cacheField name="quantidade" numFmtId="1">
      <sharedItems containsSemiMixedTypes="0" containsString="0" containsNumber="1" containsInteger="1" minValue="1" maxValue="3"/>
    </cacheField>
    <cacheField name="valor_total" numFmtId="1">
      <sharedItems containsSemiMixedTypes="0" containsString="0" containsNumber="1" minValue="29.9" maxValue="220" count="32">
        <n v="99.8"/>
        <n v="120"/>
        <n v="119.69999999999999"/>
        <n v="29.9"/>
        <n v="90"/>
        <n v="98.9"/>
        <n v="69.8"/>
        <n v="52"/>
        <n v="79.8"/>
        <n v="89.9"/>
        <n v="44.9"/>
        <n v="220"/>
        <n v="59.9"/>
        <n v="54.9"/>
        <n v="139.80000000000001"/>
        <n v="95"/>
        <n v="143.69999999999999"/>
        <n v="130"/>
        <n v="42.9"/>
        <n v="119.9"/>
        <n v="125"/>
        <n v="135"/>
        <n v="97.8"/>
        <n v="79.900000000000006"/>
        <n v="46"/>
        <n v="115"/>
        <n v="129.80000000000001"/>
        <n v="41.9"/>
        <n v="140"/>
        <n v="105.8"/>
        <n v="99.9"/>
        <n v="49.9"/>
      </sharedItems>
    </cacheField>
    <cacheField name="data_pedido" numFmtId="165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n v="1001"/>
    <x v="0"/>
    <x v="0"/>
    <s v=" Charles Duhigg "/>
    <x v="0"/>
    <n v="49.9"/>
    <n v="2"/>
    <x v="0"/>
    <s v=" 05/01/2024"/>
  </r>
  <r>
    <n v="1002"/>
    <x v="1"/>
    <x v="1"/>
    <s v=" Robert C. Martin "/>
    <x v="1"/>
    <n v="120"/>
    <n v="1"/>
    <x v="1"/>
    <s v=" 06/01/2024"/>
  </r>
  <r>
    <n v="1003"/>
    <x v="2"/>
    <x v="2"/>
    <s v=" George Orwell "/>
    <x v="2"/>
    <n v="39.9"/>
    <n v="3"/>
    <x v="2"/>
    <s v=" 07/01/2024"/>
  </r>
  <r>
    <n v="1004"/>
    <x v="3"/>
    <x v="3"/>
    <s v=" Machado de Assis "/>
    <x v="3"/>
    <n v="29.9"/>
    <n v="1"/>
    <x v="3"/>
    <s v=" 08/01/2024"/>
  </r>
  <r>
    <n v="1005"/>
    <x v="0"/>
    <x v="4"/>
    <s v=" Carol Dweck "/>
    <x v="0"/>
    <n v="45"/>
    <n v="2"/>
    <x v="4"/>
    <s v=" 10/01/2024"/>
  </r>
  <r>
    <n v="1006"/>
    <x v="1"/>
    <x v="5"/>
    <s v=" Wes McKinney "/>
    <x v="1"/>
    <n v="98.9"/>
    <n v="1"/>
    <x v="5"/>
    <s v=" 12/01/2024"/>
  </r>
  <r>
    <n v="1007"/>
    <x v="2"/>
    <x v="6"/>
    <s v=" George Orwell "/>
    <x v="2"/>
    <n v="34.9"/>
    <n v="2"/>
    <x v="6"/>
    <s v=" 15/01/2024"/>
  </r>
  <r>
    <n v="1008"/>
    <x v="4"/>
    <x v="7"/>
    <s v=" Robert Kiyosaki "/>
    <x v="4"/>
    <n v="52"/>
    <n v="1"/>
    <x v="7"/>
    <s v=" 16/01/2024"/>
  </r>
  <r>
    <n v="1009"/>
    <x v="5"/>
    <x v="8"/>
    <s v=" Paulo Coelho "/>
    <x v="2"/>
    <n v="39.9"/>
    <n v="2"/>
    <x v="8"/>
    <s v=" 18/01/2024"/>
  </r>
  <r>
    <n v="1010"/>
    <x v="3"/>
    <x v="9"/>
    <s v=" John Smith "/>
    <x v="1"/>
    <n v="89.9"/>
    <n v="1"/>
    <x v="9"/>
    <s v=" 20/01/2024"/>
  </r>
  <r>
    <n v="1011"/>
    <x v="0"/>
    <x v="10"/>
    <s v=" Greg McKeown "/>
    <x v="0"/>
    <n v="44.9"/>
    <n v="1"/>
    <x v="10"/>
    <s v=" 22/01/2024"/>
  </r>
  <r>
    <n v="1012"/>
    <x v="1"/>
    <x v="11"/>
    <s v=" Robert C. Martin "/>
    <x v="1"/>
    <n v="110"/>
    <n v="2"/>
    <x v="11"/>
    <s v=" 25/01/2024"/>
  </r>
  <r>
    <n v="1013"/>
    <x v="2"/>
    <x v="12"/>
    <s v=" J.R.R. Tolkien "/>
    <x v="5"/>
    <n v="59.9"/>
    <n v="1"/>
    <x v="12"/>
    <s v=" 26/01/2024"/>
  </r>
  <r>
    <n v="1014"/>
    <x v="4"/>
    <x v="13"/>
    <s v=" Tim Ferriss "/>
    <x v="6"/>
    <n v="54.9"/>
    <n v="1"/>
    <x v="13"/>
    <s v=" 28/01/2024"/>
  </r>
  <r>
    <n v="1015"/>
    <x v="5"/>
    <x v="14"/>
    <s v=" J.K. Rowling "/>
    <x v="5"/>
    <n v="69.900000000000006"/>
    <n v="2"/>
    <x v="14"/>
    <s v=" 30/01/2024"/>
  </r>
  <r>
    <n v="1016"/>
    <x v="3"/>
    <x v="15"/>
    <s v=" Alan Beaulieu "/>
    <x v="1"/>
    <n v="95"/>
    <n v="1"/>
    <x v="15"/>
    <s v=" 02/02/2024"/>
  </r>
  <r>
    <n v="1017"/>
    <x v="0"/>
    <x v="16"/>
    <s v=" James Clear "/>
    <x v="0"/>
    <n v="47.9"/>
    <n v="3"/>
    <x v="16"/>
    <s v=" 03/02/2024"/>
  </r>
  <r>
    <n v="1018"/>
    <x v="1"/>
    <x v="17"/>
    <s v=" Joe Reis "/>
    <x v="1"/>
    <n v="130"/>
    <n v="1"/>
    <x v="17"/>
    <s v=" 05/02/2024"/>
  </r>
  <r>
    <n v="1019"/>
    <x v="2"/>
    <x v="18"/>
    <s v=" Jane Austen "/>
    <x v="7"/>
    <n v="42.9"/>
    <n v="1"/>
    <x v="18"/>
    <s v=" 06/02/2024"/>
  </r>
  <r>
    <n v="1020"/>
    <x v="4"/>
    <x v="19"/>
    <s v=" Eric Ries "/>
    <x v="6"/>
    <n v="49.9"/>
    <n v="2"/>
    <x v="0"/>
    <s v=" 08/02/2024"/>
  </r>
  <r>
    <n v="1021"/>
    <x v="5"/>
    <x v="20"/>
    <s v=" Antoine Saint-Exupéry "/>
    <x v="2"/>
    <n v="29.9"/>
    <n v="1"/>
    <x v="3"/>
    <s v=" 10/02/2024"/>
  </r>
  <r>
    <n v="1022"/>
    <x v="3"/>
    <x v="21"/>
    <s v=" Marco Russo "/>
    <x v="1"/>
    <n v="119.9"/>
    <n v="1"/>
    <x v="19"/>
    <s v=" 12/02/2024"/>
  </r>
  <r>
    <n v="1023"/>
    <x v="0"/>
    <x v="22"/>
    <s v=" Dale Carnegie "/>
    <x v="0"/>
    <n v="39.9"/>
    <n v="2"/>
    <x v="8"/>
    <s v=" 14/02/2024"/>
  </r>
  <r>
    <n v="1024"/>
    <x v="1"/>
    <x v="23"/>
    <s v=" Joshua Bloch "/>
    <x v="1"/>
    <n v="125"/>
    <n v="1"/>
    <x v="20"/>
    <s v=" 15/02/2024"/>
  </r>
  <r>
    <n v="1025"/>
    <x v="2"/>
    <x v="24"/>
    <s v=" L.M. Montgomery "/>
    <x v="7"/>
    <n v="44.9"/>
    <n v="1"/>
    <x v="10"/>
    <s v=" 17/02/2024"/>
  </r>
  <r>
    <n v="1026"/>
    <x v="4"/>
    <x v="25"/>
    <s v=" Martin Fowler "/>
    <x v="1"/>
    <n v="135"/>
    <n v="1"/>
    <x v="21"/>
    <s v=" 18/02/2024"/>
  </r>
  <r>
    <n v="1027"/>
    <x v="5"/>
    <x v="26"/>
    <s v=" Clarissa Pinkola "/>
    <x v="0"/>
    <n v="48.9"/>
    <n v="2"/>
    <x v="22"/>
    <s v=" 20/02/2024"/>
  </r>
  <r>
    <n v="1028"/>
    <x v="3"/>
    <x v="27"/>
    <s v=" Leandro Vieira "/>
    <x v="1"/>
    <n v="79.900000000000006"/>
    <n v="1"/>
    <x v="23"/>
    <s v=" 22/02/2024"/>
  </r>
  <r>
    <n v="1029"/>
    <x v="0"/>
    <x v="28"/>
    <s v=" Brené Brown "/>
    <x v="0"/>
    <n v="46"/>
    <n v="1"/>
    <x v="24"/>
    <s v=" 23/02/2024"/>
  </r>
  <r>
    <n v="1030"/>
    <x v="1"/>
    <x v="29"/>
    <s v=" Nigel Poulton "/>
    <x v="1"/>
    <n v="115"/>
    <n v="1"/>
    <x v="25"/>
    <s v=" 25/02/2024"/>
  </r>
  <r>
    <n v="1031"/>
    <x v="2"/>
    <x v="30"/>
    <s v=" Patrick Rothfuss "/>
    <x v="5"/>
    <n v="64.900000000000006"/>
    <n v="2"/>
    <x v="26"/>
    <s v=" 26/02/2024"/>
  </r>
  <r>
    <n v="1032"/>
    <x v="4"/>
    <x v="31"/>
    <s v=" Brian Tracy "/>
    <x v="6"/>
    <n v="41.9"/>
    <n v="1"/>
    <x v="27"/>
    <s v=" 28/02/2024"/>
  </r>
  <r>
    <n v="1033"/>
    <x v="5"/>
    <x v="32"/>
    <s v=" Sun Tzu "/>
    <x v="8"/>
    <n v="29.9"/>
    <n v="1"/>
    <x v="3"/>
    <s v=" 01/03/2024"/>
  </r>
  <r>
    <n v="1034"/>
    <x v="3"/>
    <x v="33"/>
    <s v=" Viktor Mayer "/>
    <x v="1"/>
    <n v="140"/>
    <n v="1"/>
    <x v="28"/>
    <s v=" 03/03/2024"/>
  </r>
  <r>
    <n v="1035"/>
    <x v="0"/>
    <x v="34"/>
    <s v=" Daniel Goleman "/>
    <x v="0"/>
    <n v="52.9"/>
    <n v="2"/>
    <x v="29"/>
    <s v=" 05/03/2024"/>
  </r>
  <r>
    <n v="1036"/>
    <x v="1"/>
    <x v="35"/>
    <s v=" Christopher Negus "/>
    <x v="1"/>
    <n v="99.9"/>
    <n v="1"/>
    <x v="30"/>
    <s v=" 06/03/2024"/>
  </r>
  <r>
    <n v="1037"/>
    <x v="2"/>
    <x v="36"/>
    <s v=" Markus Zusak "/>
    <x v="2"/>
    <n v="49.9"/>
    <n v="1"/>
    <x v="31"/>
    <s v=" 08/03/2024"/>
  </r>
  <r>
    <n v="1038"/>
    <x v="4"/>
    <x v="37"/>
    <s v=" Jeff Sutherland "/>
    <x v="6"/>
    <n v="59.9"/>
    <n v="1"/>
    <x v="12"/>
    <s v=" 09/03/2024"/>
  </r>
  <r>
    <n v="1039"/>
    <x v="5"/>
    <x v="38"/>
    <s v=" Elizabeth Gilbert "/>
    <x v="7"/>
    <n v="39.9"/>
    <n v="2"/>
    <x v="8"/>
    <s v=" 10/03/2024"/>
  </r>
  <r>
    <n v="1040"/>
    <x v="3"/>
    <x v="39"/>
    <s v=" Mario Triola "/>
    <x v="9"/>
    <n v="89.9"/>
    <n v="1"/>
    <x v="9"/>
    <s v=" 12/03/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3" rowHeaderCaption="clientes">
  <location ref="A3:B10" firstHeaderRow="1" firstDataRow="1" firstDataCol="1"/>
  <pivotFields count="9">
    <pivotField numFmtId="1" showAll="0"/>
    <pivotField axis="axisRow" showAll="0" sortType="descending">
      <items count="7">
        <item x="0"/>
        <item x="3"/>
        <item x="5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7" showAll="0"/>
    <pivotField numFmtId="1" showAll="0"/>
    <pivotField dataField="1" numFmtId="1" showAll="0"/>
    <pivotField showAll="0"/>
  </pivotFields>
  <rowFields count="1">
    <field x="1"/>
  </rowFields>
  <rowItems count="7">
    <i>
      <x v="3"/>
    </i>
    <i>
      <x v="1"/>
    </i>
    <i>
      <x/>
    </i>
    <i>
      <x v="5"/>
    </i>
    <i>
      <x v="2"/>
    </i>
    <i>
      <x v="4"/>
    </i>
    <i t="grand">
      <x/>
    </i>
  </rowItems>
  <colItems count="1">
    <i/>
  </colItems>
  <dataFields count="1">
    <dataField name="valor_gasto_cliente" fld="7" baseField="1" baseItem="0" numFmtId="44"/>
  </dataFields>
  <formats count="31">
    <format dxfId="54">
      <pivotArea dataOnly="0" labelOnly="1" outline="0" axis="axisValues" fieldPosition="0"/>
    </format>
    <format dxfId="55">
      <pivotArea dataOnly="0" labelOnly="1" outline="0" axis="axisValues" fieldPosition="0"/>
    </format>
    <format dxfId="56">
      <pivotArea dataOnly="0" labelOnly="1" outline="0" axis="axisValues" fieldPosition="0"/>
    </format>
    <format dxfId="57">
      <pivotArea dataOnly="0" labelOnly="1" outline="0" axis="axisValues" fieldPosition="0"/>
    </format>
    <format dxfId="58">
      <pivotArea type="all" dataOnly="0" outline="0" fieldPosition="0"/>
    </format>
    <format dxfId="59">
      <pivotArea outline="0" collapsedLevelsAreSubtotals="1" fieldPosition="0"/>
    </format>
    <format dxfId="60">
      <pivotArea field="1" type="button" dataOnly="0" labelOnly="1" outline="0" axis="axisRow" fieldPosition="0"/>
    </format>
    <format dxfId="61">
      <pivotArea dataOnly="0" labelOnly="1" outline="0" axis="axisValues" fieldPosition="0"/>
    </format>
    <format dxfId="62">
      <pivotArea dataOnly="0" labelOnly="1" fieldPosition="0">
        <references count="1">
          <reference field="1" count="0"/>
        </references>
      </pivotArea>
    </format>
    <format dxfId="63">
      <pivotArea dataOnly="0" labelOnly="1" grandRow="1" outline="0" fieldPosition="0"/>
    </format>
    <format dxfId="64">
      <pivotArea dataOnly="0" labelOnly="1" outline="0" axis="axisValues" fieldPosition="0"/>
    </format>
    <format dxfId="42">
      <pivotArea outline="0" collapsedLevelsAreSubtotals="1" fieldPosition="0"/>
    </format>
    <format dxfId="41">
      <pivotArea dataOnly="0" labelOnly="1" outline="0" axis="axisValues" fieldPosition="0"/>
    </format>
    <format dxfId="40">
      <pivotArea dataOnly="0" labelOnly="1" outline="0" axis="axisValues" fieldPosition="0"/>
    </format>
    <format dxfId="39">
      <pivotArea dataOnly="0" labelOnly="1" outline="0" axis="axisValues" fieldPosition="0"/>
    </format>
    <format dxfId="38">
      <pivotArea dataOnly="0" labelOnly="1" outline="0" axis="axisValues" fieldPosition="0"/>
    </format>
    <format dxfId="37">
      <pivotArea field="1" type="button" dataOnly="0" labelOnly="1" outline="0" axis="axisRow" fieldPosition="0"/>
    </format>
    <format dxfId="36">
      <pivotArea grandRow="1" outline="0" collapsedLevelsAreSubtotals="1" fieldPosition="0"/>
    </format>
    <format dxfId="35">
      <pivotArea dataOnly="0" labelOnly="1" grandRow="1" outline="0" fieldPosition="0"/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grandRow="1" outline="0" fieldPosition="0"/>
    </format>
    <format dxfId="31">
      <pivotArea field="1" type="button" dataOnly="0" labelOnly="1" outline="0" axis="axisRow" fieldPosition="0"/>
    </format>
    <format dxfId="30">
      <pivotArea dataOnly="0" labelOnly="1" fieldPosition="0">
        <references count="1">
          <reference field="1" count="0"/>
        </references>
      </pivotArea>
    </format>
    <format dxfId="29">
      <pivotArea dataOnly="0" labelOnly="1" grandRow="1" outline="0" fieldPosition="0"/>
    </format>
    <format dxfId="28">
      <pivotArea outline="0" collapsedLevelsAreSubtotals="1" fieldPosition="0"/>
    </format>
    <format dxfId="27">
      <pivotArea dataOnly="0" labelOnly="1" outline="0" axis="axisValues" fieldPosition="0"/>
    </format>
    <format dxfId="26">
      <pivotArea dataOnly="0" labelOnly="1" outline="0" axis="axisValues" fieldPosition="0"/>
    </format>
    <format dxfId="25">
      <pivotArea outline="0" collapsedLevelsAreSubtotals="1" fieldPosition="0"/>
    </format>
    <format dxfId="24">
      <pivotArea dataOnly="0" labelOnly="1" outline="0" axis="axisValues" fieldPosition="0"/>
    </format>
    <format dxfId="23">
      <pivotArea dataOnly="0" labelOnly="1" outline="0" axis="axisValues" fieldPosition="0"/>
    </format>
  </formats>
  <chartFormats count="7"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7" rowHeaderCaption="Nome_Livros">
  <location ref="A3:B44" firstHeaderRow="1" firstDataRow="1" firstDataCol="1"/>
  <pivotFields count="9">
    <pivotField numFmtId="1" showAll="0"/>
    <pivotField showAll="0"/>
    <pivotField axis="axisRow" showAll="0" sortType="descending">
      <items count="41">
        <item x="2"/>
        <item x="32"/>
        <item x="28"/>
        <item x="36"/>
        <item x="6"/>
        <item x="24"/>
        <item x="15"/>
        <item x="33"/>
        <item x="1"/>
        <item x="11"/>
        <item x="38"/>
        <item x="22"/>
        <item x="25"/>
        <item x="29"/>
        <item x="3"/>
        <item x="17"/>
        <item x="10"/>
        <item x="39"/>
        <item x="27"/>
        <item x="31"/>
        <item x="16"/>
        <item x="14"/>
        <item x="34"/>
        <item x="23"/>
        <item x="35"/>
        <item x="4"/>
        <item x="26"/>
        <item x="8"/>
        <item x="12"/>
        <item x="30"/>
        <item x="20"/>
        <item x="0"/>
        <item x="18"/>
        <item x="7"/>
        <item x="21"/>
        <item x="5"/>
        <item x="37"/>
        <item x="9"/>
        <item x="19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7" showAll="0"/>
    <pivotField dataField="1" numFmtId="1" showAll="0"/>
    <pivotField numFmtId="1" showAll="0"/>
    <pivotField showAll="0"/>
  </pivotFields>
  <rowFields count="1">
    <field x="2"/>
  </rowFields>
  <rowItems count="41">
    <i>
      <x v="20"/>
    </i>
    <i>
      <x/>
    </i>
    <i>
      <x v="25"/>
    </i>
    <i>
      <x v="31"/>
    </i>
    <i>
      <x v="27"/>
    </i>
    <i>
      <x v="4"/>
    </i>
    <i>
      <x v="22"/>
    </i>
    <i>
      <x v="9"/>
    </i>
    <i>
      <x v="26"/>
    </i>
    <i>
      <x v="10"/>
    </i>
    <i>
      <x v="29"/>
    </i>
    <i>
      <x v="11"/>
    </i>
    <i>
      <x v="21"/>
    </i>
    <i>
      <x v="38"/>
    </i>
    <i>
      <x v="12"/>
    </i>
    <i>
      <x v="14"/>
    </i>
    <i>
      <x v="33"/>
    </i>
    <i>
      <x v="15"/>
    </i>
    <i>
      <x v="6"/>
    </i>
    <i>
      <x v="16"/>
    </i>
    <i>
      <x v="13"/>
    </i>
    <i>
      <x v="17"/>
    </i>
    <i>
      <x v="35"/>
    </i>
    <i>
      <x v="18"/>
    </i>
    <i>
      <x v="5"/>
    </i>
    <i>
      <x v="37"/>
    </i>
    <i>
      <x v="28"/>
    </i>
    <i>
      <x v="2"/>
    </i>
    <i>
      <x v="30"/>
    </i>
    <i>
      <x v="7"/>
    </i>
    <i>
      <x v="32"/>
    </i>
    <i>
      <x v="8"/>
    </i>
    <i>
      <x v="34"/>
    </i>
    <i>
      <x v="23"/>
    </i>
    <i>
      <x v="36"/>
    </i>
    <i>
      <x v="24"/>
    </i>
    <i>
      <x v="3"/>
    </i>
    <i>
      <x v="39"/>
    </i>
    <i>
      <x v="1"/>
    </i>
    <i>
      <x v="19"/>
    </i>
    <i t="grand">
      <x/>
    </i>
  </rowItems>
  <colItems count="1">
    <i/>
  </colItems>
  <dataFields count="1">
    <dataField name="quantidade_Livro" fld="6" baseField="2" baseItem="20"/>
  </dataFields>
  <formats count="16"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2" type="button" dataOnly="0" labelOnly="1" outline="0" axis="axisRow" fieldPosition="0"/>
    </format>
    <format dxfId="15">
      <pivotArea dataOnly="0" labelOnly="1" outline="0" axis="axisValues" fieldPosition="0"/>
    </format>
    <format dxfId="16">
      <pivotArea dataOnly="0" labelOnly="1" fieldPosition="0">
        <references count="1">
          <reference field="2" count="0"/>
        </references>
      </pivotArea>
    </format>
    <format dxfId="17">
      <pivotArea dataOnly="0" labelOnly="1" grandRow="1" outline="0" fieldPosition="0"/>
    </format>
    <format dxfId="18">
      <pivotArea dataOnly="0" labelOnly="1" outline="0" axis="axisValues" fieldPosition="0"/>
    </format>
    <format dxfId="19">
      <pivotArea dataOnly="0" labelOnly="1" outline="0" axis="axisValues" fieldPosition="0"/>
    </format>
    <format dxfId="20">
      <pivotArea dataOnly="0" labelOnly="1" outline="0" axis="axisValues" fieldPosition="0"/>
    </format>
    <format dxfId="21">
      <pivotArea dataOnly="0" labelOnly="1" outline="0" axis="axisValues" fieldPosition="0"/>
    </format>
    <format dxfId="22">
      <pivotArea dataOnly="0" labelOnly="1" outline="0" axis="axisValues" fieldPosition="0"/>
    </format>
    <format dxfId="11">
      <pivotArea field="2" type="button" dataOnly="0" labelOnly="1" outline="0" axis="axisRow" fieldPosition="0"/>
    </format>
    <format dxfId="10">
      <pivotArea dataOnly="0" labelOnly="1" outline="0" axis="axisValues" fieldPosition="0"/>
    </format>
    <format dxfId="9">
      <pivotArea dataOnly="0" labelOnly="1" outline="0" axis="axisValues" fieldPosition="0"/>
    </format>
    <format dxfId="8">
      <pivotArea dataOnly="0" labelOnly="1" grandRow="1" outline="0" fieldPosition="0"/>
    </format>
    <format dxfId="7">
      <pivotArea grandRow="1" outline="0" collapsedLevelsAreSubtotals="1" fieldPosition="0"/>
    </format>
  </formats>
  <chartFormats count="1"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3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2" rowHeaderCaption="Gênero">
  <location ref="A3:B14" firstHeaderRow="1" firstDataRow="1" firstDataCol="1"/>
  <pivotFields count="9">
    <pivotField numFmtId="1" showAll="0"/>
    <pivotField showAll="0"/>
    <pivotField showAll="0"/>
    <pivotField showAll="0"/>
    <pivotField axis="axisRow" showAll="0" sortType="descending">
      <items count="11">
        <item x="0"/>
        <item x="3"/>
        <item x="9"/>
        <item x="8"/>
        <item x="5"/>
        <item x="2"/>
        <item x="4"/>
        <item x="6"/>
        <item x="7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7" showAll="0"/>
    <pivotField numFmtId="1" showAll="0"/>
    <pivotField dataField="1" numFmtId="1" showAll="0">
      <items count="33">
        <item x="3"/>
        <item x="27"/>
        <item x="18"/>
        <item x="10"/>
        <item x="24"/>
        <item x="31"/>
        <item x="7"/>
        <item x="13"/>
        <item x="12"/>
        <item x="6"/>
        <item x="8"/>
        <item x="23"/>
        <item x="9"/>
        <item x="4"/>
        <item x="15"/>
        <item x="22"/>
        <item x="5"/>
        <item x="0"/>
        <item x="30"/>
        <item x="29"/>
        <item x="25"/>
        <item x="2"/>
        <item x="19"/>
        <item x="1"/>
        <item x="20"/>
        <item x="26"/>
        <item x="17"/>
        <item x="21"/>
        <item x="14"/>
        <item x="28"/>
        <item x="16"/>
        <item x="11"/>
        <item t="default"/>
      </items>
    </pivotField>
    <pivotField showAll="0"/>
  </pivotFields>
  <rowFields count="1">
    <field x="4"/>
  </rowFields>
  <rowItems count="11">
    <i>
      <x v="9"/>
    </i>
    <i>
      <x/>
    </i>
    <i>
      <x v="5"/>
    </i>
    <i>
      <x v="4"/>
    </i>
    <i>
      <x v="7"/>
    </i>
    <i>
      <x v="8"/>
    </i>
    <i>
      <x v="2"/>
    </i>
    <i>
      <x v="6"/>
    </i>
    <i>
      <x v="3"/>
    </i>
    <i>
      <x v="1"/>
    </i>
    <i t="grand">
      <x/>
    </i>
  </rowItems>
  <colItems count="1">
    <i/>
  </colItems>
  <dataFields count="1">
    <dataField name="Total Vedido" fld="7" baseField="4" baseItem="0"/>
  </dataFields>
  <formats count="18">
    <format dxfId="75">
      <pivotArea collapsedLevelsAreSubtotals="1" fieldPosition="0">
        <references count="1">
          <reference field="4" count="1">
            <x v="9"/>
          </reference>
        </references>
      </pivotArea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4" type="button" dataOnly="0" labelOnly="1" outline="0" axis="axisRow" fieldPosition="0"/>
    </format>
    <format dxfId="71">
      <pivotArea dataOnly="0" labelOnly="1" outline="0" axis="axisValues" fieldPosition="0"/>
    </format>
    <format dxfId="70">
      <pivotArea dataOnly="0" labelOnly="1" fieldPosition="0">
        <references count="1">
          <reference field="4" count="0"/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  <format dxfId="67">
      <pivotArea collapsedLevelsAreSubtotals="1" fieldPosition="0">
        <references count="1">
          <reference field="4" count="0"/>
        </references>
      </pivotArea>
    </format>
    <format dxfId="66">
      <pivotArea grandRow="1" outline="0" collapsedLevelsAreSubtotals="1" fieldPosition="0"/>
    </format>
    <format dxfId="65">
      <pivotArea grandRow="1" outline="0" collapsedLevelsAreSubtotals="1" fieldPosition="0"/>
    </format>
    <format dxfId="6">
      <pivotArea dataOnly="0" labelOnly="1" outline="0" axis="axisValues" fieldPosition="0"/>
    </format>
    <format dxfId="5">
      <pivotArea dataOnly="0" labelOnly="1" outline="0" axis="axisValues" fieldPosition="0"/>
    </format>
    <format dxfId="4">
      <pivotArea dataOnly="0" labelOnly="1" outline="0" axis="axisValues" fieldPosition="0"/>
    </format>
    <format dxfId="3">
      <pivotArea dataOnly="0" labelOnly="1" outline="0" axis="axisValues" fieldPosition="0"/>
    </format>
    <format dxfId="2">
      <pivotArea field="4" type="button" dataOnly="0" labelOnly="1" outline="0" axis="axisRow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1">
    <chartFormat chart="3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a1" displayName="Tabela1" ref="C4:K44" totalsRowShown="0" headerRowDxfId="85" dataDxfId="86" headerRowBorderDxfId="88" tableBorderDxfId="89" totalsRowBorderDxfId="87">
  <autoFilter ref="C4:K44"/>
  <tableColumns count="9">
    <tableColumn id="1" name="pedido_id" dataDxfId="84"/>
    <tableColumn id="2" name="cliente" dataDxfId="82"/>
    <tableColumn id="3" name="nome" dataDxfId="83"/>
    <tableColumn id="4" name="autor" dataDxfId="81"/>
    <tableColumn id="5" name="genero" dataDxfId="80"/>
    <tableColumn id="6" name="preco" dataDxfId="79"/>
    <tableColumn id="7" name="quantidade" dataDxfId="78" dataCellStyle="Moeda"/>
    <tableColumn id="10" name="valor_total" dataDxfId="76" dataCellStyle="Moeda">
      <calculatedColumnFormula>H5*I5</calculatedColumnFormula>
    </tableColumn>
    <tableColumn id="8" name="data_pedido" dataDxfId="7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C1:O44"/>
  <sheetViews>
    <sheetView showGridLines="0" tabSelected="1" topLeftCell="C1" zoomScaleNormal="100" workbookViewId="0">
      <selection activeCell="O4" sqref="O4"/>
    </sheetView>
  </sheetViews>
  <sheetFormatPr defaultRowHeight="14.5" x14ac:dyDescent="0.35"/>
  <cols>
    <col min="1" max="1" width="8.6328125" customWidth="1"/>
    <col min="2" max="2" width="6.90625" customWidth="1"/>
    <col min="3" max="3" width="16.08984375" style="9" customWidth="1"/>
    <col min="4" max="4" width="14.54296875" style="13" bestFit="1" customWidth="1"/>
    <col min="5" max="5" width="26.7265625" style="13" bestFit="1" customWidth="1"/>
    <col min="6" max="6" width="20.36328125" style="13" bestFit="1" customWidth="1"/>
    <col min="7" max="7" width="14.90625" style="13" customWidth="1"/>
    <col min="8" max="8" width="12.90625" style="17" bestFit="1" customWidth="1"/>
    <col min="9" max="9" width="16.54296875" style="19" bestFit="1" customWidth="1"/>
    <col min="10" max="10" width="16.54296875" style="19" customWidth="1"/>
    <col min="11" max="11" width="19" style="2" customWidth="1"/>
    <col min="12" max="12" width="8" customWidth="1"/>
    <col min="14" max="14" width="8.453125" customWidth="1"/>
  </cols>
  <sheetData>
    <row r="1" spans="3:15" s="1" customFormat="1" x14ac:dyDescent="0.35">
      <c r="C1" s="9"/>
      <c r="D1" s="13"/>
      <c r="E1" s="13"/>
      <c r="F1" s="13"/>
      <c r="G1" s="13"/>
      <c r="H1" s="17"/>
      <c r="I1" s="19"/>
      <c r="J1" s="19"/>
      <c r="K1" s="2"/>
    </row>
    <row r="2" spans="3:15" ht="15" thickBot="1" x14ac:dyDescent="0.4">
      <c r="K2" s="3"/>
    </row>
    <row r="3" spans="3:15" ht="15.5" thickTop="1" thickBot="1" x14ac:dyDescent="0.4">
      <c r="C3" s="5" t="s">
        <v>5</v>
      </c>
      <c r="D3" s="5"/>
      <c r="E3" s="5"/>
      <c r="F3" s="5"/>
      <c r="G3" s="5"/>
      <c r="H3" s="5"/>
      <c r="I3" s="5"/>
      <c r="J3" s="5"/>
      <c r="K3" s="5"/>
      <c r="M3" s="26"/>
      <c r="N3" s="26"/>
    </row>
    <row r="4" spans="3:15" s="4" customFormat="1" ht="24.5" customHeight="1" thickTop="1" thickBot="1" x14ac:dyDescent="0.4">
      <c r="C4" s="10" t="s">
        <v>0</v>
      </c>
      <c r="D4" s="14" t="s">
        <v>1</v>
      </c>
      <c r="E4" s="14" t="s">
        <v>6</v>
      </c>
      <c r="F4" s="14" t="s">
        <v>8</v>
      </c>
      <c r="G4" s="14" t="s">
        <v>7</v>
      </c>
      <c r="H4" s="18" t="s">
        <v>2</v>
      </c>
      <c r="I4" s="20" t="s">
        <v>3</v>
      </c>
      <c r="J4" s="25" t="s">
        <v>142</v>
      </c>
      <c r="K4" s="7" t="s">
        <v>4</v>
      </c>
      <c r="M4" s="27"/>
      <c r="N4" s="27"/>
      <c r="O4" s="41"/>
    </row>
    <row r="5" spans="3:15" ht="15.5" thickTop="1" thickBot="1" x14ac:dyDescent="0.4">
      <c r="C5" s="11">
        <v>1001</v>
      </c>
      <c r="D5" s="15" t="s">
        <v>9</v>
      </c>
      <c r="E5" s="15" t="s">
        <v>10</v>
      </c>
      <c r="F5" s="15" t="s">
        <v>11</v>
      </c>
      <c r="G5" s="15" t="s">
        <v>12</v>
      </c>
      <c r="H5" s="23">
        <v>49.9</v>
      </c>
      <c r="I5" s="21">
        <v>2</v>
      </c>
      <c r="J5" s="31">
        <f>H5*I5</f>
        <v>99.8</v>
      </c>
      <c r="K5" s="6" t="s">
        <v>13</v>
      </c>
    </row>
    <row r="6" spans="3:15" ht="15.5" thickTop="1" thickBot="1" x14ac:dyDescent="0.4">
      <c r="C6" s="11">
        <v>1002</v>
      </c>
      <c r="D6" s="15" t="s">
        <v>14</v>
      </c>
      <c r="E6" s="15" t="s">
        <v>15</v>
      </c>
      <c r="F6" s="15" t="s">
        <v>16</v>
      </c>
      <c r="G6" s="15" t="s">
        <v>17</v>
      </c>
      <c r="H6" s="23">
        <v>120</v>
      </c>
      <c r="I6" s="21">
        <v>1</v>
      </c>
      <c r="J6" s="31">
        <f t="shared" ref="J5:J44" si="0">H6*I6</f>
        <v>120</v>
      </c>
      <c r="K6" s="6" t="s">
        <v>18</v>
      </c>
    </row>
    <row r="7" spans="3:15" ht="15.5" thickTop="1" thickBot="1" x14ac:dyDescent="0.4">
      <c r="C7" s="11">
        <v>1003</v>
      </c>
      <c r="D7" s="15" t="s">
        <v>19</v>
      </c>
      <c r="E7" s="15">
        <v>1984</v>
      </c>
      <c r="F7" s="15" t="s">
        <v>20</v>
      </c>
      <c r="G7" s="15" t="s">
        <v>21</v>
      </c>
      <c r="H7" s="23">
        <v>39.9</v>
      </c>
      <c r="I7" s="21">
        <v>3</v>
      </c>
      <c r="J7" s="31">
        <f t="shared" si="0"/>
        <v>119.69999999999999</v>
      </c>
      <c r="K7" s="6" t="s">
        <v>22</v>
      </c>
      <c r="M7" s="1"/>
      <c r="N7" s="1"/>
    </row>
    <row r="8" spans="3:15" ht="15.5" thickTop="1" thickBot="1" x14ac:dyDescent="0.4">
      <c r="C8" s="11">
        <v>1004</v>
      </c>
      <c r="D8" s="15" t="s">
        <v>23</v>
      </c>
      <c r="E8" s="15" t="s">
        <v>24</v>
      </c>
      <c r="F8" s="15" t="s">
        <v>25</v>
      </c>
      <c r="G8" s="15" t="s">
        <v>26</v>
      </c>
      <c r="H8" s="23">
        <v>29.9</v>
      </c>
      <c r="I8" s="21">
        <v>1</v>
      </c>
      <c r="J8" s="31">
        <f t="shared" si="0"/>
        <v>29.9</v>
      </c>
      <c r="K8" s="6" t="s">
        <v>27</v>
      </c>
      <c r="M8" s="1"/>
      <c r="N8" s="1"/>
    </row>
    <row r="9" spans="3:15" ht="15.5" thickTop="1" thickBot="1" x14ac:dyDescent="0.4">
      <c r="C9" s="11">
        <v>1005</v>
      </c>
      <c r="D9" s="15" t="s">
        <v>9</v>
      </c>
      <c r="E9" s="15" t="s">
        <v>28</v>
      </c>
      <c r="F9" s="15" t="s">
        <v>29</v>
      </c>
      <c r="G9" s="15" t="s">
        <v>12</v>
      </c>
      <c r="H9" s="23">
        <v>45</v>
      </c>
      <c r="I9" s="21">
        <v>2</v>
      </c>
      <c r="J9" s="31">
        <f t="shared" si="0"/>
        <v>90</v>
      </c>
      <c r="K9" s="6" t="s">
        <v>30</v>
      </c>
    </row>
    <row r="10" spans="3:15" ht="15.5" thickTop="1" thickBot="1" x14ac:dyDescent="0.4">
      <c r="C10" s="11">
        <v>1006</v>
      </c>
      <c r="D10" s="15" t="s">
        <v>14</v>
      </c>
      <c r="E10" s="15" t="s">
        <v>31</v>
      </c>
      <c r="F10" s="15" t="s">
        <v>32</v>
      </c>
      <c r="G10" s="15" t="s">
        <v>17</v>
      </c>
      <c r="H10" s="23">
        <v>98.9</v>
      </c>
      <c r="I10" s="21">
        <v>1</v>
      </c>
      <c r="J10" s="31">
        <f t="shared" si="0"/>
        <v>98.9</v>
      </c>
      <c r="K10" s="6" t="s">
        <v>33</v>
      </c>
    </row>
    <row r="11" spans="3:15" ht="15.5" thickTop="1" thickBot="1" x14ac:dyDescent="0.4">
      <c r="C11" s="11">
        <v>1007</v>
      </c>
      <c r="D11" s="15" t="s">
        <v>19</v>
      </c>
      <c r="E11" s="15" t="s">
        <v>34</v>
      </c>
      <c r="F11" s="15" t="s">
        <v>20</v>
      </c>
      <c r="G11" s="15" t="s">
        <v>21</v>
      </c>
      <c r="H11" s="23">
        <v>34.9</v>
      </c>
      <c r="I11" s="21">
        <v>2</v>
      </c>
      <c r="J11" s="31">
        <f t="shared" si="0"/>
        <v>69.8</v>
      </c>
      <c r="K11" s="6" t="s">
        <v>35</v>
      </c>
    </row>
    <row r="12" spans="3:15" ht="15.5" thickTop="1" thickBot="1" x14ac:dyDescent="0.4">
      <c r="C12" s="11">
        <v>1008</v>
      </c>
      <c r="D12" s="15" t="s">
        <v>36</v>
      </c>
      <c r="E12" s="15" t="s">
        <v>37</v>
      </c>
      <c r="F12" s="15" t="s">
        <v>38</v>
      </c>
      <c r="G12" s="15" t="s">
        <v>39</v>
      </c>
      <c r="H12" s="23">
        <v>52</v>
      </c>
      <c r="I12" s="21">
        <v>1</v>
      </c>
      <c r="J12" s="31">
        <f t="shared" si="0"/>
        <v>52</v>
      </c>
      <c r="K12" s="6" t="s">
        <v>40</v>
      </c>
    </row>
    <row r="13" spans="3:15" ht="15.5" thickTop="1" thickBot="1" x14ac:dyDescent="0.4">
      <c r="C13" s="11">
        <v>1009</v>
      </c>
      <c r="D13" s="15" t="s">
        <v>41</v>
      </c>
      <c r="E13" s="15" t="s">
        <v>42</v>
      </c>
      <c r="F13" s="15" t="s">
        <v>43</v>
      </c>
      <c r="G13" s="15" t="s">
        <v>21</v>
      </c>
      <c r="H13" s="23">
        <v>39.9</v>
      </c>
      <c r="I13" s="21">
        <v>2</v>
      </c>
      <c r="J13" s="31">
        <f t="shared" si="0"/>
        <v>79.8</v>
      </c>
      <c r="K13" s="6" t="s">
        <v>44</v>
      </c>
    </row>
    <row r="14" spans="3:15" ht="15.5" thickTop="1" thickBot="1" x14ac:dyDescent="0.4">
      <c r="C14" s="11">
        <v>1010</v>
      </c>
      <c r="D14" s="15" t="s">
        <v>23</v>
      </c>
      <c r="E14" s="15" t="s">
        <v>45</v>
      </c>
      <c r="F14" s="15" t="s">
        <v>46</v>
      </c>
      <c r="G14" s="15" t="s">
        <v>17</v>
      </c>
      <c r="H14" s="23">
        <v>89.9</v>
      </c>
      <c r="I14" s="21">
        <v>1</v>
      </c>
      <c r="J14" s="31">
        <f t="shared" si="0"/>
        <v>89.9</v>
      </c>
      <c r="K14" s="6" t="s">
        <v>47</v>
      </c>
    </row>
    <row r="15" spans="3:15" ht="15.5" thickTop="1" thickBot="1" x14ac:dyDescent="0.4">
      <c r="C15" s="11">
        <v>1011</v>
      </c>
      <c r="D15" s="15" t="s">
        <v>9</v>
      </c>
      <c r="E15" s="15" t="s">
        <v>48</v>
      </c>
      <c r="F15" s="15" t="s">
        <v>49</v>
      </c>
      <c r="G15" s="15" t="s">
        <v>12</v>
      </c>
      <c r="H15" s="23">
        <v>44.9</v>
      </c>
      <c r="I15" s="21">
        <v>1</v>
      </c>
      <c r="J15" s="31">
        <f t="shared" si="0"/>
        <v>44.9</v>
      </c>
      <c r="K15" s="6" t="s">
        <v>50</v>
      </c>
    </row>
    <row r="16" spans="3:15" ht="15.5" thickTop="1" thickBot="1" x14ac:dyDescent="0.4">
      <c r="C16" s="11">
        <v>1012</v>
      </c>
      <c r="D16" s="15" t="s">
        <v>14</v>
      </c>
      <c r="E16" s="15" t="s">
        <v>51</v>
      </c>
      <c r="F16" s="15" t="s">
        <v>16</v>
      </c>
      <c r="G16" s="15" t="s">
        <v>17</v>
      </c>
      <c r="H16" s="23">
        <v>110</v>
      </c>
      <c r="I16" s="21">
        <v>2</v>
      </c>
      <c r="J16" s="31">
        <f t="shared" si="0"/>
        <v>220</v>
      </c>
      <c r="K16" s="6" t="s">
        <v>52</v>
      </c>
    </row>
    <row r="17" spans="3:11" ht="15.5" thickTop="1" thickBot="1" x14ac:dyDescent="0.4">
      <c r="C17" s="11">
        <v>1013</v>
      </c>
      <c r="D17" s="15" t="s">
        <v>19</v>
      </c>
      <c r="E17" s="15" t="s">
        <v>53</v>
      </c>
      <c r="F17" s="15" t="s">
        <v>54</v>
      </c>
      <c r="G17" s="15" t="s">
        <v>55</v>
      </c>
      <c r="H17" s="23">
        <v>59.9</v>
      </c>
      <c r="I17" s="21">
        <v>1</v>
      </c>
      <c r="J17" s="31">
        <f t="shared" si="0"/>
        <v>59.9</v>
      </c>
      <c r="K17" s="6" t="s">
        <v>56</v>
      </c>
    </row>
    <row r="18" spans="3:11" ht="15.5" thickTop="1" thickBot="1" x14ac:dyDescent="0.4">
      <c r="C18" s="11">
        <v>1014</v>
      </c>
      <c r="D18" s="15" t="s">
        <v>36</v>
      </c>
      <c r="E18" s="15" t="s">
        <v>57</v>
      </c>
      <c r="F18" s="15" t="s">
        <v>58</v>
      </c>
      <c r="G18" s="15" t="s">
        <v>59</v>
      </c>
      <c r="H18" s="23">
        <v>54.9</v>
      </c>
      <c r="I18" s="21">
        <v>1</v>
      </c>
      <c r="J18" s="31">
        <f t="shared" si="0"/>
        <v>54.9</v>
      </c>
      <c r="K18" s="6" t="s">
        <v>60</v>
      </c>
    </row>
    <row r="19" spans="3:11" ht="15.5" thickTop="1" thickBot="1" x14ac:dyDescent="0.4">
      <c r="C19" s="11">
        <v>1015</v>
      </c>
      <c r="D19" s="15" t="s">
        <v>41</v>
      </c>
      <c r="E19" s="15" t="s">
        <v>61</v>
      </c>
      <c r="F19" s="15" t="s">
        <v>62</v>
      </c>
      <c r="G19" s="15" t="s">
        <v>55</v>
      </c>
      <c r="H19" s="23">
        <v>69.900000000000006</v>
      </c>
      <c r="I19" s="21">
        <v>2</v>
      </c>
      <c r="J19" s="31">
        <f t="shared" si="0"/>
        <v>139.80000000000001</v>
      </c>
      <c r="K19" s="6" t="s">
        <v>63</v>
      </c>
    </row>
    <row r="20" spans="3:11" ht="15.5" thickTop="1" thickBot="1" x14ac:dyDescent="0.4">
      <c r="C20" s="11">
        <v>1016</v>
      </c>
      <c r="D20" s="15" t="s">
        <v>23</v>
      </c>
      <c r="E20" s="15" t="s">
        <v>64</v>
      </c>
      <c r="F20" s="15" t="s">
        <v>65</v>
      </c>
      <c r="G20" s="15" t="s">
        <v>17</v>
      </c>
      <c r="H20" s="23">
        <v>95</v>
      </c>
      <c r="I20" s="21">
        <v>1</v>
      </c>
      <c r="J20" s="31">
        <f t="shared" si="0"/>
        <v>95</v>
      </c>
      <c r="K20" s="6" t="s">
        <v>66</v>
      </c>
    </row>
    <row r="21" spans="3:11" ht="15.5" thickTop="1" thickBot="1" x14ac:dyDescent="0.4">
      <c r="C21" s="11">
        <v>1017</v>
      </c>
      <c r="D21" s="15" t="s">
        <v>9</v>
      </c>
      <c r="E21" s="15" t="s">
        <v>67</v>
      </c>
      <c r="F21" s="15" t="s">
        <v>68</v>
      </c>
      <c r="G21" s="15" t="s">
        <v>12</v>
      </c>
      <c r="H21" s="23">
        <v>47.9</v>
      </c>
      <c r="I21" s="21">
        <v>3</v>
      </c>
      <c r="J21" s="31">
        <f t="shared" si="0"/>
        <v>143.69999999999999</v>
      </c>
      <c r="K21" s="6" t="s">
        <v>69</v>
      </c>
    </row>
    <row r="22" spans="3:11" ht="15.5" thickTop="1" thickBot="1" x14ac:dyDescent="0.4">
      <c r="C22" s="11">
        <v>1018</v>
      </c>
      <c r="D22" s="15" t="s">
        <v>14</v>
      </c>
      <c r="E22" s="15" t="s">
        <v>70</v>
      </c>
      <c r="F22" s="15" t="s">
        <v>71</v>
      </c>
      <c r="G22" s="15" t="s">
        <v>17</v>
      </c>
      <c r="H22" s="23">
        <v>130</v>
      </c>
      <c r="I22" s="21">
        <v>1</v>
      </c>
      <c r="J22" s="31">
        <f t="shared" si="0"/>
        <v>130</v>
      </c>
      <c r="K22" s="6" t="s">
        <v>72</v>
      </c>
    </row>
    <row r="23" spans="3:11" ht="15.5" thickTop="1" thickBot="1" x14ac:dyDescent="0.4">
      <c r="C23" s="11">
        <v>1019</v>
      </c>
      <c r="D23" s="15" t="s">
        <v>19</v>
      </c>
      <c r="E23" s="15" t="s">
        <v>73</v>
      </c>
      <c r="F23" s="15" t="s">
        <v>74</v>
      </c>
      <c r="G23" s="15" t="s">
        <v>75</v>
      </c>
      <c r="H23" s="23">
        <v>42.9</v>
      </c>
      <c r="I23" s="21">
        <v>1</v>
      </c>
      <c r="J23" s="31">
        <f t="shared" si="0"/>
        <v>42.9</v>
      </c>
      <c r="K23" s="6" t="s">
        <v>76</v>
      </c>
    </row>
    <row r="24" spans="3:11" ht="15.5" thickTop="1" thickBot="1" x14ac:dyDescent="0.4">
      <c r="C24" s="11">
        <v>1020</v>
      </c>
      <c r="D24" s="15" t="s">
        <v>36</v>
      </c>
      <c r="E24" s="15" t="s">
        <v>77</v>
      </c>
      <c r="F24" s="15" t="s">
        <v>78</v>
      </c>
      <c r="G24" s="15" t="s">
        <v>59</v>
      </c>
      <c r="H24" s="23">
        <v>49.9</v>
      </c>
      <c r="I24" s="21">
        <v>2</v>
      </c>
      <c r="J24" s="31">
        <f t="shared" si="0"/>
        <v>99.8</v>
      </c>
      <c r="K24" s="6" t="s">
        <v>79</v>
      </c>
    </row>
    <row r="25" spans="3:11" ht="15.5" thickTop="1" thickBot="1" x14ac:dyDescent="0.4">
      <c r="C25" s="11">
        <v>1021</v>
      </c>
      <c r="D25" s="15" t="s">
        <v>41</v>
      </c>
      <c r="E25" s="15" t="s">
        <v>80</v>
      </c>
      <c r="F25" s="15" t="s">
        <v>81</v>
      </c>
      <c r="G25" s="15" t="s">
        <v>21</v>
      </c>
      <c r="H25" s="23">
        <v>29.9</v>
      </c>
      <c r="I25" s="21">
        <v>1</v>
      </c>
      <c r="J25" s="31">
        <f t="shared" si="0"/>
        <v>29.9</v>
      </c>
      <c r="K25" s="6" t="s">
        <v>82</v>
      </c>
    </row>
    <row r="26" spans="3:11" ht="15.5" thickTop="1" thickBot="1" x14ac:dyDescent="0.4">
      <c r="C26" s="11">
        <v>1022</v>
      </c>
      <c r="D26" s="15" t="s">
        <v>23</v>
      </c>
      <c r="E26" s="15" t="s">
        <v>83</v>
      </c>
      <c r="F26" s="15" t="s">
        <v>84</v>
      </c>
      <c r="G26" s="15" t="s">
        <v>17</v>
      </c>
      <c r="H26" s="23">
        <v>119.9</v>
      </c>
      <c r="I26" s="21">
        <v>1</v>
      </c>
      <c r="J26" s="31">
        <f t="shared" si="0"/>
        <v>119.9</v>
      </c>
      <c r="K26" s="6" t="s">
        <v>85</v>
      </c>
    </row>
    <row r="27" spans="3:11" ht="15.5" thickTop="1" thickBot="1" x14ac:dyDescent="0.4">
      <c r="C27" s="11">
        <v>1023</v>
      </c>
      <c r="D27" s="15" t="s">
        <v>9</v>
      </c>
      <c r="E27" s="15" t="s">
        <v>86</v>
      </c>
      <c r="F27" s="15" t="s">
        <v>87</v>
      </c>
      <c r="G27" s="15" t="s">
        <v>12</v>
      </c>
      <c r="H27" s="23">
        <v>39.9</v>
      </c>
      <c r="I27" s="21">
        <v>2</v>
      </c>
      <c r="J27" s="31">
        <f t="shared" si="0"/>
        <v>79.8</v>
      </c>
      <c r="K27" s="6" t="s">
        <v>88</v>
      </c>
    </row>
    <row r="28" spans="3:11" ht="15.5" thickTop="1" thickBot="1" x14ac:dyDescent="0.4">
      <c r="C28" s="11">
        <v>1024</v>
      </c>
      <c r="D28" s="15" t="s">
        <v>14</v>
      </c>
      <c r="E28" s="15" t="s">
        <v>89</v>
      </c>
      <c r="F28" s="15" t="s">
        <v>90</v>
      </c>
      <c r="G28" s="15" t="s">
        <v>17</v>
      </c>
      <c r="H28" s="23">
        <v>125</v>
      </c>
      <c r="I28" s="21">
        <v>1</v>
      </c>
      <c r="J28" s="31">
        <f t="shared" si="0"/>
        <v>125</v>
      </c>
      <c r="K28" s="6" t="s">
        <v>91</v>
      </c>
    </row>
    <row r="29" spans="3:11" ht="15.5" thickTop="1" thickBot="1" x14ac:dyDescent="0.4">
      <c r="C29" s="11">
        <v>1025</v>
      </c>
      <c r="D29" s="15" t="s">
        <v>19</v>
      </c>
      <c r="E29" s="15" t="s">
        <v>92</v>
      </c>
      <c r="F29" s="15" t="s">
        <v>93</v>
      </c>
      <c r="G29" s="15" t="s">
        <v>75</v>
      </c>
      <c r="H29" s="23">
        <v>44.9</v>
      </c>
      <c r="I29" s="21">
        <v>1</v>
      </c>
      <c r="J29" s="31">
        <f t="shared" si="0"/>
        <v>44.9</v>
      </c>
      <c r="K29" s="6" t="s">
        <v>94</v>
      </c>
    </row>
    <row r="30" spans="3:11" ht="15.5" thickTop="1" thickBot="1" x14ac:dyDescent="0.4">
      <c r="C30" s="11">
        <v>1026</v>
      </c>
      <c r="D30" s="15" t="s">
        <v>36</v>
      </c>
      <c r="E30" s="15" t="s">
        <v>95</v>
      </c>
      <c r="F30" s="15" t="s">
        <v>96</v>
      </c>
      <c r="G30" s="15" t="s">
        <v>17</v>
      </c>
      <c r="H30" s="23">
        <v>135</v>
      </c>
      <c r="I30" s="21">
        <v>1</v>
      </c>
      <c r="J30" s="31">
        <f t="shared" si="0"/>
        <v>135</v>
      </c>
      <c r="K30" s="6" t="s">
        <v>97</v>
      </c>
    </row>
    <row r="31" spans="3:11" ht="15.5" thickTop="1" thickBot="1" x14ac:dyDescent="0.4">
      <c r="C31" s="11">
        <v>1027</v>
      </c>
      <c r="D31" s="15" t="s">
        <v>41</v>
      </c>
      <c r="E31" s="15" t="s">
        <v>98</v>
      </c>
      <c r="F31" s="15" t="s">
        <v>99</v>
      </c>
      <c r="G31" s="15" t="s">
        <v>12</v>
      </c>
      <c r="H31" s="23">
        <v>48.9</v>
      </c>
      <c r="I31" s="21">
        <v>2</v>
      </c>
      <c r="J31" s="31">
        <f t="shared" si="0"/>
        <v>97.8</v>
      </c>
      <c r="K31" s="6" t="s">
        <v>100</v>
      </c>
    </row>
    <row r="32" spans="3:11" ht="15.5" thickTop="1" thickBot="1" x14ac:dyDescent="0.4">
      <c r="C32" s="11">
        <v>1028</v>
      </c>
      <c r="D32" s="15" t="s">
        <v>23</v>
      </c>
      <c r="E32" s="15" t="s">
        <v>101</v>
      </c>
      <c r="F32" s="15" t="s">
        <v>102</v>
      </c>
      <c r="G32" s="15" t="s">
        <v>17</v>
      </c>
      <c r="H32" s="23">
        <v>79.900000000000006</v>
      </c>
      <c r="I32" s="21">
        <v>1</v>
      </c>
      <c r="J32" s="31">
        <f t="shared" si="0"/>
        <v>79.900000000000006</v>
      </c>
      <c r="K32" s="6" t="s">
        <v>103</v>
      </c>
    </row>
    <row r="33" spans="3:11" ht="15.5" thickTop="1" thickBot="1" x14ac:dyDescent="0.4">
      <c r="C33" s="11">
        <v>1029</v>
      </c>
      <c r="D33" s="15" t="s">
        <v>9</v>
      </c>
      <c r="E33" s="15" t="s">
        <v>104</v>
      </c>
      <c r="F33" s="15" t="s">
        <v>105</v>
      </c>
      <c r="G33" s="15" t="s">
        <v>12</v>
      </c>
      <c r="H33" s="23">
        <v>46</v>
      </c>
      <c r="I33" s="21">
        <v>1</v>
      </c>
      <c r="J33" s="31">
        <f t="shared" si="0"/>
        <v>46</v>
      </c>
      <c r="K33" s="6" t="s">
        <v>106</v>
      </c>
    </row>
    <row r="34" spans="3:11" ht="15.5" thickTop="1" thickBot="1" x14ac:dyDescent="0.4">
      <c r="C34" s="11">
        <v>1030</v>
      </c>
      <c r="D34" s="15" t="s">
        <v>14</v>
      </c>
      <c r="E34" s="15" t="s">
        <v>107</v>
      </c>
      <c r="F34" s="15" t="s">
        <v>108</v>
      </c>
      <c r="G34" s="15" t="s">
        <v>17</v>
      </c>
      <c r="H34" s="23">
        <v>115</v>
      </c>
      <c r="I34" s="21">
        <v>1</v>
      </c>
      <c r="J34" s="31">
        <f t="shared" si="0"/>
        <v>115</v>
      </c>
      <c r="K34" s="6" t="s">
        <v>109</v>
      </c>
    </row>
    <row r="35" spans="3:11" ht="15.5" thickTop="1" thickBot="1" x14ac:dyDescent="0.4">
      <c r="C35" s="11">
        <v>1031</v>
      </c>
      <c r="D35" s="15" t="s">
        <v>19</v>
      </c>
      <c r="E35" s="15" t="s">
        <v>110</v>
      </c>
      <c r="F35" s="15" t="s">
        <v>111</v>
      </c>
      <c r="G35" s="15" t="s">
        <v>55</v>
      </c>
      <c r="H35" s="23">
        <v>64.900000000000006</v>
      </c>
      <c r="I35" s="21">
        <v>2</v>
      </c>
      <c r="J35" s="31">
        <f t="shared" si="0"/>
        <v>129.80000000000001</v>
      </c>
      <c r="K35" s="6" t="s">
        <v>112</v>
      </c>
    </row>
    <row r="36" spans="3:11" ht="15.5" thickTop="1" thickBot="1" x14ac:dyDescent="0.4">
      <c r="C36" s="11">
        <v>1032</v>
      </c>
      <c r="D36" s="15" t="s">
        <v>36</v>
      </c>
      <c r="E36" s="15" t="s">
        <v>113</v>
      </c>
      <c r="F36" s="15" t="s">
        <v>114</v>
      </c>
      <c r="G36" s="15" t="s">
        <v>59</v>
      </c>
      <c r="H36" s="23">
        <v>41.9</v>
      </c>
      <c r="I36" s="21">
        <v>1</v>
      </c>
      <c r="J36" s="31">
        <f t="shared" si="0"/>
        <v>41.9</v>
      </c>
      <c r="K36" s="6" t="s">
        <v>115</v>
      </c>
    </row>
    <row r="37" spans="3:11" ht="15.5" thickTop="1" thickBot="1" x14ac:dyDescent="0.4">
      <c r="C37" s="11">
        <v>1033</v>
      </c>
      <c r="D37" s="15" t="s">
        <v>41</v>
      </c>
      <c r="E37" s="15" t="s">
        <v>116</v>
      </c>
      <c r="F37" s="15" t="s">
        <v>117</v>
      </c>
      <c r="G37" s="15" t="s">
        <v>118</v>
      </c>
      <c r="H37" s="23">
        <v>29.9</v>
      </c>
      <c r="I37" s="21">
        <v>1</v>
      </c>
      <c r="J37" s="31">
        <f t="shared" si="0"/>
        <v>29.9</v>
      </c>
      <c r="K37" s="6" t="s">
        <v>119</v>
      </c>
    </row>
    <row r="38" spans="3:11" ht="15.5" thickTop="1" thickBot="1" x14ac:dyDescent="0.4">
      <c r="C38" s="11">
        <v>1034</v>
      </c>
      <c r="D38" s="15" t="s">
        <v>23</v>
      </c>
      <c r="E38" s="15" t="s">
        <v>120</v>
      </c>
      <c r="F38" s="15" t="s">
        <v>121</v>
      </c>
      <c r="G38" s="15" t="s">
        <v>17</v>
      </c>
      <c r="H38" s="23">
        <v>140</v>
      </c>
      <c r="I38" s="21">
        <v>1</v>
      </c>
      <c r="J38" s="31">
        <f t="shared" si="0"/>
        <v>140</v>
      </c>
      <c r="K38" s="6" t="s">
        <v>122</v>
      </c>
    </row>
    <row r="39" spans="3:11" ht="15.5" thickTop="1" thickBot="1" x14ac:dyDescent="0.4">
      <c r="C39" s="11">
        <v>1035</v>
      </c>
      <c r="D39" s="15" t="s">
        <v>9</v>
      </c>
      <c r="E39" s="15" t="s">
        <v>123</v>
      </c>
      <c r="F39" s="15" t="s">
        <v>124</v>
      </c>
      <c r="G39" s="15" t="s">
        <v>12</v>
      </c>
      <c r="H39" s="23">
        <v>52.9</v>
      </c>
      <c r="I39" s="21">
        <v>2</v>
      </c>
      <c r="J39" s="31">
        <f t="shared" si="0"/>
        <v>105.8</v>
      </c>
      <c r="K39" s="6" t="s">
        <v>125</v>
      </c>
    </row>
    <row r="40" spans="3:11" ht="15.5" thickTop="1" thickBot="1" x14ac:dyDescent="0.4">
      <c r="C40" s="11">
        <v>1036</v>
      </c>
      <c r="D40" s="15" t="s">
        <v>14</v>
      </c>
      <c r="E40" s="15" t="s">
        <v>126</v>
      </c>
      <c r="F40" s="15" t="s">
        <v>127</v>
      </c>
      <c r="G40" s="15" t="s">
        <v>17</v>
      </c>
      <c r="H40" s="23">
        <v>99.9</v>
      </c>
      <c r="I40" s="21">
        <v>1</v>
      </c>
      <c r="J40" s="31">
        <f t="shared" si="0"/>
        <v>99.9</v>
      </c>
      <c r="K40" s="6" t="s">
        <v>128</v>
      </c>
    </row>
    <row r="41" spans="3:11" ht="15.5" thickTop="1" thickBot="1" x14ac:dyDescent="0.4">
      <c r="C41" s="11">
        <v>1037</v>
      </c>
      <c r="D41" s="15" t="s">
        <v>19</v>
      </c>
      <c r="E41" s="15" t="s">
        <v>129</v>
      </c>
      <c r="F41" s="15" t="s">
        <v>130</v>
      </c>
      <c r="G41" s="15" t="s">
        <v>21</v>
      </c>
      <c r="H41" s="23">
        <v>49.9</v>
      </c>
      <c r="I41" s="21">
        <v>1</v>
      </c>
      <c r="J41" s="31">
        <f t="shared" si="0"/>
        <v>49.9</v>
      </c>
      <c r="K41" s="6" t="s">
        <v>131</v>
      </c>
    </row>
    <row r="42" spans="3:11" ht="15.5" thickTop="1" thickBot="1" x14ac:dyDescent="0.4">
      <c r="C42" s="11">
        <v>1038</v>
      </c>
      <c r="D42" s="15" t="s">
        <v>36</v>
      </c>
      <c r="E42" s="15" t="s">
        <v>132</v>
      </c>
      <c r="F42" s="15" t="s">
        <v>133</v>
      </c>
      <c r="G42" s="15" t="s">
        <v>59</v>
      </c>
      <c r="H42" s="23">
        <v>59.9</v>
      </c>
      <c r="I42" s="21">
        <v>1</v>
      </c>
      <c r="J42" s="31">
        <f t="shared" si="0"/>
        <v>59.9</v>
      </c>
      <c r="K42" s="6" t="s">
        <v>134</v>
      </c>
    </row>
    <row r="43" spans="3:11" ht="15.5" thickTop="1" thickBot="1" x14ac:dyDescent="0.4">
      <c r="C43" s="11">
        <v>1039</v>
      </c>
      <c r="D43" s="15" t="s">
        <v>41</v>
      </c>
      <c r="E43" s="15" t="s">
        <v>135</v>
      </c>
      <c r="F43" s="15" t="s">
        <v>136</v>
      </c>
      <c r="G43" s="15" t="s">
        <v>75</v>
      </c>
      <c r="H43" s="23">
        <v>39.9</v>
      </c>
      <c r="I43" s="21">
        <v>2</v>
      </c>
      <c r="J43" s="31">
        <f t="shared" si="0"/>
        <v>79.8</v>
      </c>
      <c r="K43" s="6" t="s">
        <v>137</v>
      </c>
    </row>
    <row r="44" spans="3:11" ht="15" thickTop="1" x14ac:dyDescent="0.35">
      <c r="C44" s="12">
        <v>1040</v>
      </c>
      <c r="D44" s="16" t="s">
        <v>23</v>
      </c>
      <c r="E44" s="16" t="s">
        <v>138</v>
      </c>
      <c r="F44" s="16" t="s">
        <v>139</v>
      </c>
      <c r="G44" s="16" t="s">
        <v>140</v>
      </c>
      <c r="H44" s="24">
        <v>89.9</v>
      </c>
      <c r="I44" s="22">
        <v>1</v>
      </c>
      <c r="J44" s="32">
        <f t="shared" si="0"/>
        <v>89.9</v>
      </c>
      <c r="K44" s="8" t="s">
        <v>141</v>
      </c>
    </row>
  </sheetData>
  <mergeCells count="1">
    <mergeCell ref="C3:K3"/>
  </mergeCells>
  <pageMargins left="0.511811024" right="0.511811024" top="0.78740157499999996" bottom="0.78740157499999996" header="0.31496062000000002" footer="0.31496062000000002"/>
  <pageSetup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3:J16"/>
  <sheetViews>
    <sheetView showGridLines="0" workbookViewId="0">
      <selection activeCell="B22" sqref="B22"/>
    </sheetView>
  </sheetViews>
  <sheetFormatPr defaultRowHeight="14.5" x14ac:dyDescent="0.35"/>
  <cols>
    <col min="1" max="1" width="14.54296875" customWidth="1"/>
    <col min="2" max="2" width="18.54296875" bestFit="1" customWidth="1"/>
  </cols>
  <sheetData>
    <row r="3" spans="1:10" x14ac:dyDescent="0.35">
      <c r="A3" s="37" t="s">
        <v>145</v>
      </c>
      <c r="B3" s="39" t="s">
        <v>144</v>
      </c>
    </row>
    <row r="4" spans="1:10" x14ac:dyDescent="0.35">
      <c r="A4" s="38" t="s">
        <v>14</v>
      </c>
      <c r="B4" s="40">
        <v>908.8</v>
      </c>
    </row>
    <row r="5" spans="1:10" x14ac:dyDescent="0.35">
      <c r="A5" s="38" t="s">
        <v>23</v>
      </c>
      <c r="B5" s="40">
        <v>644.5</v>
      </c>
    </row>
    <row r="6" spans="1:10" x14ac:dyDescent="0.35">
      <c r="A6" s="38" t="s">
        <v>9</v>
      </c>
      <c r="B6" s="40">
        <v>610</v>
      </c>
    </row>
    <row r="7" spans="1:10" x14ac:dyDescent="0.35">
      <c r="A7" s="38" t="s">
        <v>19</v>
      </c>
      <c r="B7" s="40">
        <v>516.9</v>
      </c>
    </row>
    <row r="8" spans="1:10" x14ac:dyDescent="0.35">
      <c r="A8" s="38" t="s">
        <v>41</v>
      </c>
      <c r="B8" s="40">
        <v>457</v>
      </c>
    </row>
    <row r="9" spans="1:10" x14ac:dyDescent="0.35">
      <c r="A9" s="38" t="s">
        <v>36</v>
      </c>
      <c r="B9" s="40">
        <v>443.49999999999994</v>
      </c>
    </row>
    <row r="10" spans="1:10" x14ac:dyDescent="0.35">
      <c r="A10" s="37" t="s">
        <v>143</v>
      </c>
      <c r="B10" s="39">
        <v>3580.7000000000003</v>
      </c>
    </row>
    <row r="12" spans="1:10" x14ac:dyDescent="0.35">
      <c r="B12" s="33"/>
    </row>
    <row r="16" spans="1:10" x14ac:dyDescent="0.35">
      <c r="J16" s="33"/>
    </row>
  </sheetData>
  <pageMargins left="0.511811024" right="0.511811024" top="0.78740157499999996" bottom="0.78740157499999996" header="0.31496062000000002" footer="0.31496062000000002"/>
  <pageSetup orientation="portrait" horizontalDpi="360" verticalDpi="36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J44"/>
  <sheetViews>
    <sheetView showGridLines="0" topLeftCell="A24" workbookViewId="0">
      <selection activeCell="B44" sqref="B44"/>
    </sheetView>
  </sheetViews>
  <sheetFormatPr defaultRowHeight="14.5" x14ac:dyDescent="0.35"/>
  <cols>
    <col min="1" max="1" width="26.7265625" bestFit="1" customWidth="1"/>
    <col min="2" max="2" width="15.54296875" customWidth="1"/>
    <col min="4" max="4" width="17.26953125" bestFit="1" customWidth="1"/>
    <col min="5" max="5" width="15.54296875" bestFit="1" customWidth="1"/>
  </cols>
  <sheetData>
    <row r="2" spans="1:10" ht="15" thickBot="1" x14ac:dyDescent="0.4"/>
    <row r="3" spans="1:10" ht="15" thickBot="1" x14ac:dyDescent="0.4">
      <c r="A3" s="42" t="s">
        <v>148</v>
      </c>
      <c r="B3" s="43" t="s">
        <v>149</v>
      </c>
      <c r="D3" s="30" t="s">
        <v>148</v>
      </c>
      <c r="E3" s="30" t="s">
        <v>149</v>
      </c>
    </row>
    <row r="4" spans="1:10" ht="15" thickBot="1" x14ac:dyDescent="0.4">
      <c r="A4" s="28" t="s">
        <v>67</v>
      </c>
      <c r="B4" s="29">
        <v>3</v>
      </c>
      <c r="D4" s="28" t="s">
        <v>67</v>
      </c>
      <c r="E4" s="29">
        <v>3</v>
      </c>
    </row>
    <row r="5" spans="1:10" ht="15" thickBot="1" x14ac:dyDescent="0.4">
      <c r="A5" s="28">
        <v>1984</v>
      </c>
      <c r="B5" s="29">
        <v>3</v>
      </c>
      <c r="D5" s="28">
        <v>1984</v>
      </c>
      <c r="E5" s="29">
        <v>3</v>
      </c>
    </row>
    <row r="6" spans="1:10" ht="15" thickBot="1" x14ac:dyDescent="0.4">
      <c r="A6" s="28" t="s">
        <v>28</v>
      </c>
      <c r="B6" s="29">
        <v>2</v>
      </c>
      <c r="D6" s="28" t="s">
        <v>28</v>
      </c>
      <c r="E6" s="29">
        <v>2</v>
      </c>
    </row>
    <row r="7" spans="1:10" ht="15" thickBot="1" x14ac:dyDescent="0.4">
      <c r="A7" s="28" t="s">
        <v>10</v>
      </c>
      <c r="B7" s="29">
        <v>2</v>
      </c>
      <c r="D7" s="28" t="s">
        <v>10</v>
      </c>
      <c r="E7" s="29">
        <v>2</v>
      </c>
    </row>
    <row r="8" spans="1:10" ht="15" thickBot="1" x14ac:dyDescent="0.4">
      <c r="A8" s="28" t="s">
        <v>42</v>
      </c>
      <c r="B8" s="29">
        <v>2</v>
      </c>
      <c r="D8" s="28" t="s">
        <v>42</v>
      </c>
      <c r="E8" s="29">
        <v>2</v>
      </c>
      <c r="J8" s="33"/>
    </row>
    <row r="9" spans="1:10" ht="15" thickBot="1" x14ac:dyDescent="0.4">
      <c r="A9" s="28" t="s">
        <v>34</v>
      </c>
      <c r="B9" s="29">
        <v>2</v>
      </c>
    </row>
    <row r="10" spans="1:10" ht="15" thickBot="1" x14ac:dyDescent="0.4">
      <c r="A10" s="28" t="s">
        <v>123</v>
      </c>
      <c r="B10" s="29">
        <v>2</v>
      </c>
    </row>
    <row r="11" spans="1:10" ht="15" thickBot="1" x14ac:dyDescent="0.4">
      <c r="A11" s="28" t="s">
        <v>51</v>
      </c>
      <c r="B11" s="29">
        <v>2</v>
      </c>
    </row>
    <row r="12" spans="1:10" ht="15" thickBot="1" x14ac:dyDescent="0.4">
      <c r="A12" s="28" t="s">
        <v>98</v>
      </c>
      <c r="B12" s="29">
        <v>2</v>
      </c>
    </row>
    <row r="13" spans="1:10" ht="15" thickBot="1" x14ac:dyDescent="0.4">
      <c r="A13" s="28" t="s">
        <v>135</v>
      </c>
      <c r="B13" s="29">
        <v>2</v>
      </c>
    </row>
    <row r="14" spans="1:10" ht="15" thickBot="1" x14ac:dyDescent="0.4">
      <c r="A14" s="28" t="s">
        <v>110</v>
      </c>
      <c r="B14" s="29">
        <v>2</v>
      </c>
    </row>
    <row r="15" spans="1:10" ht="15" thickBot="1" x14ac:dyDescent="0.4">
      <c r="A15" s="28" t="s">
        <v>86</v>
      </c>
      <c r="B15" s="29">
        <v>2</v>
      </c>
    </row>
    <row r="16" spans="1:10" ht="15" thickBot="1" x14ac:dyDescent="0.4">
      <c r="A16" s="28" t="s">
        <v>61</v>
      </c>
      <c r="B16" s="29">
        <v>2</v>
      </c>
    </row>
    <row r="17" spans="1:2" ht="15" thickBot="1" x14ac:dyDescent="0.4">
      <c r="A17" s="28" t="s">
        <v>77</v>
      </c>
      <c r="B17" s="29">
        <v>2</v>
      </c>
    </row>
    <row r="18" spans="1:2" ht="15" thickBot="1" x14ac:dyDescent="0.4">
      <c r="A18" s="28" t="s">
        <v>95</v>
      </c>
      <c r="B18" s="29">
        <v>1</v>
      </c>
    </row>
    <row r="19" spans="1:2" ht="15" thickBot="1" x14ac:dyDescent="0.4">
      <c r="A19" s="28" t="s">
        <v>24</v>
      </c>
      <c r="B19" s="29">
        <v>1</v>
      </c>
    </row>
    <row r="20" spans="1:2" ht="15" thickBot="1" x14ac:dyDescent="0.4">
      <c r="A20" s="28" t="s">
        <v>37</v>
      </c>
      <c r="B20" s="29">
        <v>1</v>
      </c>
    </row>
    <row r="21" spans="1:2" ht="15" thickBot="1" x14ac:dyDescent="0.4">
      <c r="A21" s="28" t="s">
        <v>70</v>
      </c>
      <c r="B21" s="29">
        <v>1</v>
      </c>
    </row>
    <row r="22" spans="1:2" ht="15" thickBot="1" x14ac:dyDescent="0.4">
      <c r="A22" s="28" t="s">
        <v>64</v>
      </c>
      <c r="B22" s="29">
        <v>1</v>
      </c>
    </row>
    <row r="23" spans="1:2" ht="15" thickBot="1" x14ac:dyDescent="0.4">
      <c r="A23" s="28" t="s">
        <v>48</v>
      </c>
      <c r="B23" s="29">
        <v>1</v>
      </c>
    </row>
    <row r="24" spans="1:2" ht="15" thickBot="1" x14ac:dyDescent="0.4">
      <c r="A24" s="28" t="s">
        <v>107</v>
      </c>
      <c r="B24" s="29">
        <v>1</v>
      </c>
    </row>
    <row r="25" spans="1:2" ht="15" thickBot="1" x14ac:dyDescent="0.4">
      <c r="A25" s="28" t="s">
        <v>138</v>
      </c>
      <c r="B25" s="29">
        <v>1</v>
      </c>
    </row>
    <row r="26" spans="1:2" ht="15" thickBot="1" x14ac:dyDescent="0.4">
      <c r="A26" s="28" t="s">
        <v>31</v>
      </c>
      <c r="B26" s="29">
        <v>1</v>
      </c>
    </row>
    <row r="27" spans="1:2" ht="15" thickBot="1" x14ac:dyDescent="0.4">
      <c r="A27" s="28" t="s">
        <v>101</v>
      </c>
      <c r="B27" s="29">
        <v>1</v>
      </c>
    </row>
    <row r="28" spans="1:2" ht="15" thickBot="1" x14ac:dyDescent="0.4">
      <c r="A28" s="28" t="s">
        <v>92</v>
      </c>
      <c r="B28" s="29">
        <v>1</v>
      </c>
    </row>
    <row r="29" spans="1:2" ht="15" thickBot="1" x14ac:dyDescent="0.4">
      <c r="A29" s="28" t="s">
        <v>45</v>
      </c>
      <c r="B29" s="29">
        <v>1</v>
      </c>
    </row>
    <row r="30" spans="1:2" ht="15" thickBot="1" x14ac:dyDescent="0.4">
      <c r="A30" s="28" t="s">
        <v>53</v>
      </c>
      <c r="B30" s="29">
        <v>1</v>
      </c>
    </row>
    <row r="31" spans="1:2" ht="15" thickBot="1" x14ac:dyDescent="0.4">
      <c r="A31" s="28" t="s">
        <v>104</v>
      </c>
      <c r="B31" s="29">
        <v>1</v>
      </c>
    </row>
    <row r="32" spans="1:2" ht="15" thickBot="1" x14ac:dyDescent="0.4">
      <c r="A32" s="28" t="s">
        <v>80</v>
      </c>
      <c r="B32" s="29">
        <v>1</v>
      </c>
    </row>
    <row r="33" spans="1:2" ht="15" thickBot="1" x14ac:dyDescent="0.4">
      <c r="A33" s="28" t="s">
        <v>120</v>
      </c>
      <c r="B33" s="29">
        <v>1</v>
      </c>
    </row>
    <row r="34" spans="1:2" ht="15" thickBot="1" x14ac:dyDescent="0.4">
      <c r="A34" s="28" t="s">
        <v>73</v>
      </c>
      <c r="B34" s="29">
        <v>1</v>
      </c>
    </row>
    <row r="35" spans="1:2" ht="15" thickBot="1" x14ac:dyDescent="0.4">
      <c r="A35" s="28" t="s">
        <v>15</v>
      </c>
      <c r="B35" s="29">
        <v>1</v>
      </c>
    </row>
    <row r="36" spans="1:2" ht="15" thickBot="1" x14ac:dyDescent="0.4">
      <c r="A36" s="28" t="s">
        <v>83</v>
      </c>
      <c r="B36" s="29">
        <v>1</v>
      </c>
    </row>
    <row r="37" spans="1:2" ht="15" thickBot="1" x14ac:dyDescent="0.4">
      <c r="A37" s="28" t="s">
        <v>89</v>
      </c>
      <c r="B37" s="29">
        <v>1</v>
      </c>
    </row>
    <row r="38" spans="1:2" ht="15" thickBot="1" x14ac:dyDescent="0.4">
      <c r="A38" s="28" t="s">
        <v>132</v>
      </c>
      <c r="B38" s="29">
        <v>1</v>
      </c>
    </row>
    <row r="39" spans="1:2" ht="15" thickBot="1" x14ac:dyDescent="0.4">
      <c r="A39" s="28" t="s">
        <v>126</v>
      </c>
      <c r="B39" s="29">
        <v>1</v>
      </c>
    </row>
    <row r="40" spans="1:2" ht="15" thickBot="1" x14ac:dyDescent="0.4">
      <c r="A40" s="28" t="s">
        <v>129</v>
      </c>
      <c r="B40" s="29">
        <v>1</v>
      </c>
    </row>
    <row r="41" spans="1:2" ht="15" thickBot="1" x14ac:dyDescent="0.4">
      <c r="A41" s="28" t="s">
        <v>57</v>
      </c>
      <c r="B41" s="29">
        <v>1</v>
      </c>
    </row>
    <row r="42" spans="1:2" ht="15" thickBot="1" x14ac:dyDescent="0.4">
      <c r="A42" s="28" t="s">
        <v>116</v>
      </c>
      <c r="B42" s="29">
        <v>1</v>
      </c>
    </row>
    <row r="43" spans="1:2" ht="15" thickBot="1" x14ac:dyDescent="0.4">
      <c r="A43" s="28" t="s">
        <v>113</v>
      </c>
      <c r="B43" s="29">
        <v>1</v>
      </c>
    </row>
    <row r="44" spans="1:2" ht="15" thickBot="1" x14ac:dyDescent="0.4">
      <c r="A44" s="44" t="s">
        <v>143</v>
      </c>
      <c r="B44" s="45">
        <v>56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2:J19"/>
  <sheetViews>
    <sheetView showGridLines="0" zoomScaleNormal="100" workbookViewId="0">
      <selection activeCell="J16" sqref="J16"/>
    </sheetView>
  </sheetViews>
  <sheetFormatPr defaultRowHeight="14.5" x14ac:dyDescent="0.35"/>
  <cols>
    <col min="1" max="1" width="10.6328125" customWidth="1"/>
    <col min="2" max="2" width="18.81640625" customWidth="1"/>
    <col min="9" max="9" width="11.6328125" customWidth="1"/>
  </cols>
  <sheetData>
    <row r="2" spans="1:2" ht="15" thickBot="1" x14ac:dyDescent="0.4"/>
    <row r="3" spans="1:2" ht="15.5" thickTop="1" thickBot="1" x14ac:dyDescent="0.4">
      <c r="A3" s="46" t="s">
        <v>146</v>
      </c>
      <c r="B3" s="46" t="s">
        <v>147</v>
      </c>
    </row>
    <row r="4" spans="1:2" ht="15.5" thickTop="1" thickBot="1" x14ac:dyDescent="0.4">
      <c r="A4" s="34" t="s">
        <v>17</v>
      </c>
      <c r="B4" s="35">
        <v>1568.5</v>
      </c>
    </row>
    <row r="5" spans="1:2" ht="15.5" thickTop="1" thickBot="1" x14ac:dyDescent="0.4">
      <c r="A5" s="34" t="s">
        <v>12</v>
      </c>
      <c r="B5" s="36">
        <v>707.8</v>
      </c>
    </row>
    <row r="6" spans="1:2" ht="15.5" thickTop="1" thickBot="1" x14ac:dyDescent="0.4">
      <c r="A6" s="34" t="s">
        <v>21</v>
      </c>
      <c r="B6" s="36">
        <v>349.09999999999997</v>
      </c>
    </row>
    <row r="7" spans="1:2" ht="15.5" thickTop="1" thickBot="1" x14ac:dyDescent="0.4">
      <c r="A7" s="34" t="s">
        <v>55</v>
      </c>
      <c r="B7" s="36">
        <v>329.5</v>
      </c>
    </row>
    <row r="8" spans="1:2" ht="15.5" thickTop="1" thickBot="1" x14ac:dyDescent="0.4">
      <c r="A8" s="34" t="s">
        <v>59</v>
      </c>
      <c r="B8" s="36">
        <v>256.5</v>
      </c>
    </row>
    <row r="9" spans="1:2" ht="15.5" thickTop="1" thickBot="1" x14ac:dyDescent="0.4">
      <c r="A9" s="34" t="s">
        <v>75</v>
      </c>
      <c r="B9" s="36">
        <v>167.6</v>
      </c>
    </row>
    <row r="10" spans="1:2" ht="15.5" thickTop="1" thickBot="1" x14ac:dyDescent="0.4">
      <c r="A10" s="34" t="s">
        <v>140</v>
      </c>
      <c r="B10" s="36">
        <v>89.9</v>
      </c>
    </row>
    <row r="11" spans="1:2" ht="15.5" thickTop="1" thickBot="1" x14ac:dyDescent="0.4">
      <c r="A11" s="34" t="s">
        <v>39</v>
      </c>
      <c r="B11" s="36">
        <v>52</v>
      </c>
    </row>
    <row r="12" spans="1:2" ht="15.5" thickTop="1" thickBot="1" x14ac:dyDescent="0.4">
      <c r="A12" s="34" t="s">
        <v>118</v>
      </c>
      <c r="B12" s="36">
        <v>29.9</v>
      </c>
    </row>
    <row r="13" spans="1:2" ht="15.5" thickTop="1" thickBot="1" x14ac:dyDescent="0.4">
      <c r="A13" s="34" t="s">
        <v>26</v>
      </c>
      <c r="B13" s="36">
        <v>29.9</v>
      </c>
    </row>
    <row r="14" spans="1:2" ht="15.5" thickTop="1" thickBot="1" x14ac:dyDescent="0.4">
      <c r="A14" s="48" t="s">
        <v>143</v>
      </c>
      <c r="B14" s="47">
        <v>3580.7</v>
      </c>
    </row>
    <row r="15" spans="1:2" ht="15" thickTop="1" x14ac:dyDescent="0.35"/>
    <row r="19" spans="10:10" x14ac:dyDescent="0.35">
      <c r="J19" s="33"/>
    </row>
  </sheetData>
  <pageMargins left="0.511811024" right="0.511811024" top="0.78740157499999996" bottom="0.78740157499999996" header="0.31496062000000002" footer="0.31496062000000002"/>
  <pageSetup orientation="portrait" horizontalDpi="360" verticalDpi="36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Tabela de Vendas</vt:lpstr>
      <vt:lpstr>Total Gasto Clientes</vt:lpstr>
      <vt:lpstr>Livros Mais Vendido</vt:lpstr>
      <vt:lpstr>Gênero Total Vendido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Santos</dc:creator>
  <cp:lastModifiedBy>Carol Santos</cp:lastModifiedBy>
  <dcterms:created xsi:type="dcterms:W3CDTF">2026-02-06T00:26:15Z</dcterms:created>
  <dcterms:modified xsi:type="dcterms:W3CDTF">2026-02-07T20:09:44Z</dcterms:modified>
</cp:coreProperties>
</file>